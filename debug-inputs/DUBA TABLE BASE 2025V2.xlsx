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<sst xmlns="http://schemas.openxmlformats.org/spreadsheetml/2006/main" count="1015" uniqueCount="225">
  <si>
    <t>Model</t>
  </si>
  <si>
    <t>Main Image</t>
  </si>
  <si>
    <t>Product Name</t>
  </si>
  <si>
    <t>Variant Size</t>
  </si>
  <si>
    <t>Finish</t>
  </si>
  <si>
    <t>Material - Base</t>
  </si>
  <si>
    <t>Material - Column</t>
  </si>
  <si>
    <t>Material - Tray</t>
  </si>
  <si>
    <t>Height (mm)</t>
  </si>
  <si>
    <t>Cost (RMB)</t>
  </si>
  <si>
    <r>
      <rPr>
        <sz val="11"/>
        <rFont val="SimSun"/>
        <charset val="204"/>
      </rPr>
      <t>Unit volume (M</t>
    </r>
    <r>
      <rPr>
        <vertAlign val="superscript"/>
        <sz val="11"/>
        <rFont val="SimSun"/>
        <charset val="204"/>
      </rPr>
      <t>3)</t>
    </r>
  </si>
  <si>
    <t>Unit Weight (kg)</t>
  </si>
  <si>
    <t>Package</t>
  </si>
  <si>
    <r>
      <rPr>
        <b/>
        <sz val="11"/>
        <rFont val="DengXian"/>
        <charset val="134"/>
      </rPr>
      <t>DB-A002</t>
    </r>
  </si>
  <si>
    <r>
      <rPr>
        <b/>
        <sz val="10"/>
        <rFont val="SimSun"/>
        <charset val="134"/>
      </rPr>
      <t>不锈钢包钢板</t>
    </r>
  </si>
  <si>
    <r>
      <rPr>
        <b/>
        <sz val="10"/>
        <rFont val="SimSun"/>
        <charset val="134"/>
      </rPr>
      <t>380*380</t>
    </r>
  </si>
  <si>
    <t>不锈钢拉丝</t>
  </si>
  <si>
    <t>不锈钢包足7.0mm
厚钢板</t>
  </si>
  <si>
    <t>201不锈钢
厚1.0mm
方60*60-690</t>
  </si>
  <si>
    <t>铁板厚2.0mm
250*250</t>
  </si>
  <si>
    <r>
      <rPr>
        <sz val="11"/>
        <color rgb="FF000000"/>
        <rFont val="SimSun"/>
        <charset val="204"/>
      </rPr>
      <t>分体包装，底板</t>
    </r>
    <r>
      <rPr>
        <sz val="11"/>
        <color rgb="FF000000"/>
        <rFont val="Arial"/>
        <charset val="204"/>
      </rPr>
      <t>2</t>
    </r>
    <r>
      <rPr>
        <sz val="11"/>
        <color rgb="FF000000"/>
        <rFont val="SimSun"/>
        <charset val="204"/>
      </rPr>
      <t>个一箱，中柱，</t>
    </r>
    <r>
      <rPr>
        <sz val="11"/>
        <color rgb="FF000000"/>
        <rFont val="Arial"/>
        <charset val="204"/>
      </rPr>
      <t>10</t>
    </r>
    <r>
      <rPr>
        <sz val="11"/>
        <color rgb="FF000000"/>
        <rFont val="SimSun"/>
        <charset val="204"/>
      </rPr>
      <t>个一箱，顶托，</t>
    </r>
    <r>
      <rPr>
        <sz val="11"/>
        <color rgb="FF000000"/>
        <rFont val="Arial"/>
        <charset val="204"/>
      </rPr>
      <t>10</t>
    </r>
    <r>
      <rPr>
        <sz val="11"/>
        <color rgb="FF000000"/>
        <rFont val="SimSun"/>
        <charset val="204"/>
      </rPr>
      <t>个一箱</t>
    </r>
  </si>
  <si>
    <r>
      <rPr>
        <b/>
        <sz val="10"/>
        <rFont val="SimSun"/>
        <charset val="134"/>
      </rPr>
      <t>400*400</t>
    </r>
  </si>
  <si>
    <r>
      <rPr>
        <b/>
        <sz val="10"/>
        <rFont val="SimSun"/>
        <charset val="134"/>
      </rPr>
      <t>450*450</t>
    </r>
  </si>
  <si>
    <t>铁板厚3.0mm
250*250</t>
  </si>
  <si>
    <t>分体包装，底板2个一箱，中柱，10个一箱，顶托，10个一箱</t>
  </si>
  <si>
    <r>
      <rPr>
        <b/>
        <sz val="10"/>
        <rFont val="SimSun"/>
        <charset val="134"/>
      </rPr>
      <t>500*500</t>
    </r>
  </si>
  <si>
    <r>
      <rPr>
        <sz val="11"/>
        <color rgb="FF000000"/>
        <rFont val="SimSun"/>
        <charset val="204"/>
      </rPr>
      <t>分体包装，底板1个一箱，中柱，</t>
    </r>
    <r>
      <rPr>
        <sz val="11"/>
        <color rgb="FF000000"/>
        <rFont val="Arial"/>
        <charset val="204"/>
      </rPr>
      <t>10</t>
    </r>
    <r>
      <rPr>
        <sz val="11"/>
        <color rgb="FF000000"/>
        <rFont val="SimSun"/>
        <charset val="204"/>
      </rPr>
      <t>个一箱，顶托，</t>
    </r>
    <r>
      <rPr>
        <sz val="11"/>
        <color rgb="FF000000"/>
        <rFont val="Arial"/>
        <charset val="204"/>
      </rPr>
      <t>10</t>
    </r>
    <r>
      <rPr>
        <sz val="11"/>
        <color rgb="FF000000"/>
        <rFont val="SimSun"/>
        <charset val="204"/>
      </rPr>
      <t>个一箱</t>
    </r>
  </si>
  <si>
    <r>
      <rPr>
        <b/>
        <sz val="10"/>
        <rFont val="SimSun"/>
        <charset val="134"/>
      </rPr>
      <t>550*550</t>
    </r>
  </si>
  <si>
    <r>
      <rPr>
        <b/>
        <sz val="11"/>
        <rFont val="DengXian"/>
        <charset val="134"/>
      </rPr>
      <t>DB-A001</t>
    </r>
  </si>
  <si>
    <t>不锈钢包钢板</t>
  </si>
  <si>
    <r>
      <rPr>
        <b/>
        <sz val="10"/>
        <rFont val="SimSun"/>
        <charset val="134"/>
      </rPr>
      <t>圆300</t>
    </r>
  </si>
  <si>
    <t>201不锈钢
厚1.0mm
圆76-690</t>
  </si>
  <si>
    <r>
      <rPr>
        <b/>
        <sz val="10"/>
        <rFont val="SimSun"/>
        <charset val="134"/>
      </rPr>
      <t>圆350</t>
    </r>
  </si>
  <si>
    <r>
      <rPr>
        <b/>
        <sz val="10"/>
        <rFont val="SimSun"/>
        <charset val="134"/>
      </rPr>
      <t>圆380</t>
    </r>
  </si>
  <si>
    <r>
      <rPr>
        <b/>
        <sz val="10"/>
        <rFont val="SimSun"/>
        <charset val="134"/>
      </rPr>
      <t>圆400</t>
    </r>
  </si>
  <si>
    <r>
      <rPr>
        <b/>
        <sz val="10"/>
        <rFont val="SimSun"/>
        <charset val="134"/>
      </rPr>
      <t>圆450</t>
    </r>
  </si>
  <si>
    <r>
      <rPr>
        <b/>
        <sz val="10"/>
        <rFont val="SimSun"/>
        <charset val="134"/>
      </rPr>
      <t>圆500</t>
    </r>
  </si>
  <si>
    <r>
      <rPr>
        <b/>
        <sz val="10"/>
        <rFont val="SimSun"/>
        <charset val="134"/>
      </rPr>
      <t>圆550</t>
    </r>
  </si>
  <si>
    <t>DB-A001B</t>
  </si>
  <si>
    <r>
      <rPr>
        <b/>
        <sz val="10"/>
        <rFont val="SimSun"/>
        <charset val="134"/>
      </rPr>
      <t>圆580三柱</t>
    </r>
  </si>
  <si>
    <r>
      <rPr>
        <b/>
        <sz val="10"/>
        <rFont val="SimSun"/>
        <charset val="134"/>
      </rPr>
      <t>圆640三柱</t>
    </r>
  </si>
  <si>
    <r>
      <rPr>
        <b/>
        <sz val="10"/>
        <rFont val="SimSun"/>
        <charset val="134"/>
      </rPr>
      <t>圆720三柱</t>
    </r>
  </si>
  <si>
    <r>
      <rPr>
        <b/>
        <sz val="11"/>
        <rFont val="DengXian"/>
        <charset val="134"/>
      </rPr>
      <t>DB-A003</t>
    </r>
  </si>
  <si>
    <r>
      <rPr>
        <b/>
        <sz val="10"/>
        <rFont val="SimSun"/>
        <charset val="134"/>
      </rPr>
      <t xml:space="preserve">400*700
</t>
    </r>
    <r>
      <rPr>
        <b/>
        <sz val="10"/>
        <rFont val="SimSun"/>
        <charset val="134"/>
      </rPr>
      <t>双柱</t>
    </r>
  </si>
  <si>
    <r>
      <rPr>
        <b/>
        <sz val="10"/>
        <rFont val="SimSun"/>
        <charset val="134"/>
      </rPr>
      <t>400*800</t>
    </r>
  </si>
  <si>
    <r>
      <rPr>
        <b/>
        <sz val="11"/>
        <rFont val="DengXian"/>
        <charset val="134"/>
      </rPr>
      <t>DB-A008</t>
    </r>
  </si>
  <si>
    <t>25*25铁管
厚1.0mm
圆800框架</t>
  </si>
  <si>
    <t>25*25铁管
厚1.0mm
圆1200框</t>
  </si>
  <si>
    <r>
      <rPr>
        <b/>
        <sz val="11"/>
        <rFont val="DengXian"/>
        <charset val="134"/>
      </rPr>
      <t>DB-A008</t>
    </r>
    <r>
      <rPr>
        <b/>
        <sz val="11"/>
        <color rgb="FF000000"/>
        <rFont val="DengXian"/>
        <charset val="134"/>
      </rPr>
      <t>B</t>
    </r>
  </si>
  <si>
    <r>
      <rPr>
        <b/>
        <sz val="10"/>
        <rFont val="SimSun"/>
        <charset val="134"/>
      </rPr>
      <t xml:space="preserve">不锈钢电镀
</t>
    </r>
    <r>
      <rPr>
        <b/>
        <sz val="10"/>
        <rFont val="SimSun"/>
        <charset val="134"/>
      </rPr>
      <t>黄钛金拉丝</t>
    </r>
  </si>
  <si>
    <r>
      <rPr>
        <b/>
        <sz val="10"/>
        <rFont val="SimSun"/>
        <charset val="134"/>
      </rPr>
      <t xml:space="preserve">黄钛金
</t>
    </r>
    <r>
      <rPr>
        <b/>
        <sz val="10"/>
        <rFont val="SimSun"/>
        <charset val="134"/>
      </rPr>
      <t>拉丝</t>
    </r>
  </si>
  <si>
    <r>
      <rPr>
        <b/>
        <sz val="11"/>
        <rFont val="DengXian"/>
        <charset val="134"/>
      </rPr>
      <t>DB-A011</t>
    </r>
  </si>
  <si>
    <r>
      <rPr>
        <b/>
        <sz val="11"/>
        <rFont val="DengXian"/>
        <charset val="134"/>
      </rPr>
      <t>DB-A010</t>
    </r>
  </si>
  <si>
    <r>
      <rPr>
        <b/>
        <sz val="11"/>
        <rFont val="DengXian"/>
        <charset val="134"/>
      </rPr>
      <t>DB-A012</t>
    </r>
  </si>
  <si>
    <r>
      <rPr>
        <b/>
        <sz val="11"/>
        <rFont val="DengXian"/>
        <charset val="134"/>
      </rPr>
      <t>DB-A014</t>
    </r>
  </si>
  <si>
    <r>
      <rPr>
        <b/>
        <sz val="10"/>
        <rFont val="SimSun"/>
        <charset val="134"/>
      </rPr>
      <t>玫瑰金拉丝</t>
    </r>
  </si>
  <si>
    <r>
      <rPr>
        <b/>
        <sz val="10"/>
        <rFont val="SimSun"/>
        <charset val="134"/>
      </rPr>
      <t xml:space="preserve">玫瑰金
</t>
    </r>
    <r>
      <rPr>
        <b/>
        <sz val="10"/>
        <rFont val="SimSun"/>
        <charset val="134"/>
      </rPr>
      <t>拉丝</t>
    </r>
  </si>
  <si>
    <r>
      <rPr>
        <b/>
        <sz val="11"/>
        <rFont val="DengXian"/>
        <charset val="134"/>
      </rPr>
      <t>DB-A013</t>
    </r>
  </si>
  <si>
    <r>
      <rPr>
        <b/>
        <sz val="11"/>
        <rFont val="DengXian"/>
        <charset val="134"/>
      </rPr>
      <t>DB-A015</t>
    </r>
  </si>
  <si>
    <r>
      <rPr>
        <b/>
        <sz val="11"/>
        <rFont val="DengXian"/>
        <charset val="134"/>
      </rPr>
      <t>DB-A022</t>
    </r>
  </si>
  <si>
    <t>不锈钢电镀
黄钛金拉丝拼色管</t>
  </si>
  <si>
    <r>
      <rPr>
        <b/>
        <sz val="10"/>
        <rFont val="SimSun"/>
        <charset val="134"/>
      </rPr>
      <t>黄+黑</t>
    </r>
  </si>
  <si>
    <r>
      <rPr>
        <b/>
        <sz val="11"/>
        <rFont val="DengXian"/>
        <charset val="134"/>
      </rPr>
      <t>DB-A023</t>
    </r>
  </si>
  <si>
    <r>
      <rPr>
        <b/>
        <sz val="11"/>
        <rFont val="DengXian"/>
        <charset val="134"/>
      </rPr>
      <t>DB-A024</t>
    </r>
  </si>
  <si>
    <t>不锈钢电镀
玫瑰金拉丝拼色管</t>
  </si>
  <si>
    <r>
      <rPr>
        <b/>
        <sz val="10"/>
        <rFont val="SimSun"/>
        <charset val="134"/>
      </rPr>
      <t xml:space="preserve">玫瑰金
</t>
    </r>
    <r>
      <rPr>
        <b/>
        <sz val="10"/>
        <rFont val="SimSun"/>
        <charset val="134"/>
      </rPr>
      <t>+黑</t>
    </r>
  </si>
  <si>
    <r>
      <rPr>
        <b/>
        <sz val="11"/>
        <rFont val="DengXian"/>
        <charset val="134"/>
      </rPr>
      <t>DB-A025</t>
    </r>
  </si>
  <si>
    <t>不锈钢电镀
黄钛金拉丝拼色椎管</t>
  </si>
  <si>
    <t>不锈钢201  厚1.0mm
上口直径130
下口直径76
690 高</t>
  </si>
  <si>
    <t>铁板厚2.0mm
300*300</t>
  </si>
  <si>
    <r>
      <rPr>
        <sz val="11"/>
        <color rgb="FF000000"/>
        <rFont val="SimSun"/>
        <charset val="204"/>
      </rPr>
      <t>分体包装，底板</t>
    </r>
    <r>
      <rPr>
        <sz val="11"/>
        <color rgb="FF000000"/>
        <rFont val="Arial"/>
        <charset val="204"/>
      </rPr>
      <t>2</t>
    </r>
    <r>
      <rPr>
        <sz val="11"/>
        <color rgb="FF000000"/>
        <rFont val="SimSun"/>
        <charset val="204"/>
      </rPr>
      <t>个一箱，中柱，8个一箱，顶托，</t>
    </r>
    <r>
      <rPr>
        <sz val="11"/>
        <color rgb="FF000000"/>
        <rFont val="Arial"/>
        <charset val="204"/>
      </rPr>
      <t>10</t>
    </r>
    <r>
      <rPr>
        <sz val="11"/>
        <color rgb="FF000000"/>
        <rFont val="SimSun"/>
        <charset val="204"/>
      </rPr>
      <t>个一箱</t>
    </r>
  </si>
  <si>
    <r>
      <rPr>
        <b/>
        <sz val="11"/>
        <rFont val="DengXian"/>
        <charset val="134"/>
      </rPr>
      <t>DB-A026</t>
    </r>
  </si>
  <si>
    <r>
      <rPr>
        <b/>
        <sz val="10"/>
        <rFont val="SimSun"/>
        <charset val="134"/>
      </rPr>
      <t>不锈钢电镀
黄钛金拉丝</t>
    </r>
    <r>
      <rPr>
        <b/>
        <sz val="10"/>
        <color rgb="FF000000"/>
        <rFont val="SimSun"/>
        <charset val="134"/>
      </rPr>
      <t>拼色椎管</t>
    </r>
  </si>
  <si>
    <r>
      <rPr>
        <b/>
        <sz val="11"/>
        <rFont val="DengXian"/>
        <charset val="134"/>
      </rPr>
      <t>DB-A027</t>
    </r>
  </si>
  <si>
    <r>
      <rPr>
        <b/>
        <sz val="10"/>
        <rFont val="SimSun"/>
        <charset val="134"/>
      </rPr>
      <t>不锈钢电镀
玫瑰金拉丝</t>
    </r>
    <r>
      <rPr>
        <b/>
        <sz val="10"/>
        <color rgb="FF000000"/>
        <rFont val="SimSun"/>
        <charset val="134"/>
      </rPr>
      <t>拼色椎管</t>
    </r>
  </si>
  <si>
    <r>
      <rPr>
        <b/>
        <sz val="11"/>
        <rFont val="DengXian"/>
        <charset val="134"/>
      </rPr>
      <t>DB-B028</t>
    </r>
  </si>
  <si>
    <r>
      <rPr>
        <b/>
        <sz val="10"/>
        <rFont val="SimSun"/>
        <charset val="134"/>
      </rPr>
      <t>钛金圆锥柱</t>
    </r>
  </si>
  <si>
    <t>钛金锥柱黄+黑
厚1.0mm
长690</t>
  </si>
  <si>
    <t>铁板厚3.0mm
300*300</t>
  </si>
  <si>
    <t>分体包装，底板2个一箱，中柱，1个一箱，顶托，10个一箱</t>
  </si>
  <si>
    <r>
      <rPr>
        <b/>
        <sz val="11"/>
        <rFont val="DengXian"/>
        <charset val="134"/>
      </rPr>
      <t>DB-B029</t>
    </r>
  </si>
  <si>
    <r>
      <rPr>
        <b/>
        <sz val="10"/>
        <rFont val="SimSun"/>
        <charset val="134"/>
      </rPr>
      <t>黄+白</t>
    </r>
  </si>
  <si>
    <t>钛金锥柱黄+白
厚1.0mm
长690</t>
  </si>
  <si>
    <r>
      <rPr>
        <b/>
        <sz val="11"/>
        <rFont val="DengXian"/>
        <charset val="134"/>
      </rPr>
      <t>DB-B030</t>
    </r>
  </si>
  <si>
    <r>
      <rPr>
        <b/>
        <sz val="11"/>
        <rFont val="DengXian"/>
        <charset val="134"/>
      </rPr>
      <t>DB-B010</t>
    </r>
  </si>
  <si>
    <r>
      <rPr>
        <b/>
        <sz val="10"/>
        <rFont val="SimSun"/>
        <charset val="134"/>
      </rPr>
      <t>钢板</t>
    </r>
  </si>
  <si>
    <r>
      <rPr>
        <b/>
        <sz val="10"/>
        <rFont val="SimSun"/>
        <charset val="134"/>
      </rPr>
      <t>哑光黑</t>
    </r>
  </si>
  <si>
    <t>足7.0mm厚钢板</t>
  </si>
  <si>
    <t>铁管厚1.0mm
方60*60-690</t>
  </si>
  <si>
    <r>
      <rPr>
        <b/>
        <sz val="11"/>
        <rFont val="DengXian"/>
        <charset val="134"/>
      </rPr>
      <t>DB-B009</t>
    </r>
  </si>
  <si>
    <t>铁管厚1.0mm
圆76-690m</t>
  </si>
  <si>
    <r>
      <rPr>
        <b/>
        <sz val="11"/>
        <rFont val="DengXian"/>
        <charset val="134"/>
      </rPr>
      <t>DB-B011</t>
    </r>
  </si>
  <si>
    <r>
      <rPr>
        <b/>
        <sz val="10"/>
        <rFont val="SimSun"/>
        <charset val="134"/>
      </rPr>
      <t>400*900</t>
    </r>
  </si>
  <si>
    <r>
      <rPr>
        <b/>
        <sz val="10"/>
        <rFont val="SimSun"/>
        <charset val="134"/>
      </rPr>
      <t>450*900</t>
    </r>
  </si>
  <si>
    <r>
      <rPr>
        <b/>
        <sz val="11"/>
        <rFont val="DengXian"/>
        <charset val="134"/>
      </rPr>
      <t>DB-B014</t>
    </r>
  </si>
  <si>
    <r>
      <rPr>
        <b/>
        <sz val="11"/>
        <rFont val="DengXian"/>
        <charset val="134"/>
      </rPr>
      <t>DB-B012</t>
    </r>
  </si>
  <si>
    <r>
      <rPr>
        <b/>
        <sz val="10"/>
        <rFont val="SimSun"/>
        <charset val="134"/>
      </rPr>
      <t xml:space="preserve">钢板圆弧R
</t>
    </r>
    <r>
      <rPr>
        <b/>
        <sz val="10"/>
        <rFont val="SimSun"/>
        <charset val="134"/>
      </rPr>
      <t>角</t>
    </r>
  </si>
  <si>
    <r>
      <rPr>
        <b/>
        <sz val="11"/>
        <rFont val="DengXian"/>
        <charset val="134"/>
      </rPr>
      <t>DB-B013</t>
    </r>
  </si>
  <si>
    <r>
      <rPr>
        <b/>
        <sz val="11"/>
        <rFont val="DengXian"/>
        <charset val="134"/>
      </rPr>
      <t>DB-A034</t>
    </r>
  </si>
  <si>
    <r>
      <rPr>
        <b/>
        <sz val="10"/>
        <rFont val="SimSun"/>
        <charset val="134"/>
      </rPr>
      <t>铁皮冲压盘</t>
    </r>
  </si>
  <si>
    <r>
      <rPr>
        <b/>
        <sz val="10"/>
        <rFont val="SimSun"/>
        <charset val="134"/>
      </rPr>
      <t>圆430</t>
    </r>
  </si>
  <si>
    <r>
      <rPr>
        <b/>
        <sz val="10"/>
        <rFont val="SimSun"/>
        <charset val="134"/>
      </rPr>
      <t>原木色</t>
    </r>
  </si>
  <si>
    <t>铁皮3</t>
  </si>
  <si>
    <t>铁管厚1.0mm
圆76-630</t>
  </si>
  <si>
    <r>
      <rPr>
        <b/>
        <sz val="11"/>
        <rFont val="DengXian"/>
        <charset val="134"/>
      </rPr>
      <t>DB-A035</t>
    </r>
  </si>
  <si>
    <r>
      <rPr>
        <b/>
        <sz val="10"/>
        <rFont val="SimSun"/>
        <charset val="134"/>
      </rPr>
      <t>410*410</t>
    </r>
  </si>
  <si>
    <r>
      <rPr>
        <b/>
        <sz val="11"/>
        <rFont val="DengXian"/>
        <charset val="134"/>
      </rPr>
      <t>DB-A036</t>
    </r>
  </si>
  <si>
    <t>DB-A031</t>
  </si>
  <si>
    <r>
      <rPr>
        <b/>
        <sz val="10"/>
        <rFont val="SimSun"/>
        <charset val="134"/>
      </rPr>
      <t>金油</t>
    </r>
  </si>
  <si>
    <t>DB-A032</t>
  </si>
  <si>
    <t>DB-A033</t>
  </si>
  <si>
    <t>DB-A032B</t>
  </si>
  <si>
    <t>铁皮4</t>
  </si>
  <si>
    <t>DB-A033B</t>
  </si>
  <si>
    <t>DB-A031B</t>
  </si>
  <si>
    <t>铁皮冲压盘</t>
  </si>
  <si>
    <r>
      <rPr>
        <b/>
        <sz val="11"/>
        <rFont val="DengXian"/>
        <charset val="134"/>
      </rPr>
      <t>DB-A037</t>
    </r>
  </si>
  <si>
    <r>
      <rPr>
        <b/>
        <sz val="10"/>
        <rFont val="SimSun"/>
        <charset val="134"/>
      </rPr>
      <t>铁艺V脚</t>
    </r>
  </si>
  <si>
    <r>
      <rPr>
        <b/>
        <sz val="10"/>
        <rFont val="SimSun"/>
        <charset val="134"/>
      </rPr>
      <t>20*40管</t>
    </r>
  </si>
  <si>
    <r>
      <rPr>
        <b/>
        <sz val="10"/>
        <rFont val="SimSun"/>
        <charset val="134"/>
      </rPr>
      <t>黑色/白色</t>
    </r>
  </si>
  <si>
    <t>上 350 下 550
管厚1.0mm</t>
  </si>
  <si>
    <r>
      <rPr>
        <b/>
        <sz val="10"/>
        <rFont val="SimSun"/>
        <charset val="134"/>
      </rPr>
      <t>20*50管</t>
    </r>
  </si>
  <si>
    <r>
      <rPr>
        <b/>
        <sz val="11"/>
        <rFont val="DengXian"/>
        <charset val="134"/>
      </rPr>
      <t>DB-A038</t>
    </r>
  </si>
  <si>
    <r>
      <rPr>
        <b/>
        <sz val="11"/>
        <rFont val="DengXian"/>
        <charset val="134"/>
      </rPr>
      <t>DB-A039</t>
    </r>
  </si>
  <si>
    <t>铁艺V脚</t>
  </si>
  <si>
    <r>
      <rPr>
        <b/>
        <sz val="11"/>
        <rFont val="DengXian"/>
        <charset val="134"/>
      </rPr>
      <t>DB-B019</t>
    </r>
  </si>
  <si>
    <r>
      <rPr>
        <b/>
        <sz val="10"/>
        <rFont val="SimSun"/>
        <charset val="134"/>
      </rPr>
      <t>铸铁斜面</t>
    </r>
  </si>
  <si>
    <r>
      <rPr>
        <b/>
        <sz val="10"/>
        <rFont val="SimSun"/>
        <charset val="134"/>
      </rPr>
      <t xml:space="preserve">铸铁
</t>
    </r>
    <r>
      <rPr>
        <b/>
        <sz val="10"/>
        <rFont val="SimSun"/>
        <charset val="134"/>
      </rPr>
      <t>带调节脚</t>
    </r>
  </si>
  <si>
    <r>
      <rPr>
        <b/>
        <sz val="11"/>
        <rFont val="DengXian"/>
        <charset val="134"/>
      </rPr>
      <t>DB-B020</t>
    </r>
  </si>
  <si>
    <r>
      <rPr>
        <b/>
        <sz val="10"/>
        <rFont val="SimSun"/>
        <charset val="134"/>
      </rPr>
      <t>390*690</t>
    </r>
  </si>
  <si>
    <t>铁管厚1.0mm
圆76-615</t>
  </si>
  <si>
    <r>
      <rPr>
        <b/>
        <sz val="10"/>
        <rFont val="SimSun"/>
        <charset val="134"/>
      </rPr>
      <t>400*730</t>
    </r>
  </si>
  <si>
    <r>
      <rPr>
        <b/>
        <sz val="11"/>
        <rFont val="DengXian"/>
        <charset val="134"/>
      </rPr>
      <t>DB-B018</t>
    </r>
  </si>
  <si>
    <r>
      <rPr>
        <b/>
        <sz val="10"/>
        <rFont val="SimSun"/>
        <charset val="134"/>
      </rPr>
      <t>铸铁光头盘</t>
    </r>
  </si>
  <si>
    <r>
      <rPr>
        <b/>
        <sz val="11"/>
        <rFont val="DengXian"/>
        <charset val="134"/>
      </rPr>
      <t>DB-B048</t>
    </r>
  </si>
  <si>
    <r>
      <rPr>
        <b/>
        <sz val="10"/>
        <rFont val="SimSun"/>
        <charset val="134"/>
      </rPr>
      <t>花瓶柱</t>
    </r>
  </si>
  <si>
    <r>
      <rPr>
        <b/>
        <sz val="8"/>
        <rFont val="SimSun"/>
        <charset val="134"/>
      </rPr>
      <t xml:space="preserve">铸铁十字架
</t>
    </r>
    <r>
      <rPr>
        <b/>
        <sz val="8"/>
        <rFont val="SimSun"/>
        <charset val="134"/>
      </rPr>
      <t>400*400</t>
    </r>
  </si>
  <si>
    <r>
      <rPr>
        <b/>
        <sz val="11"/>
        <rFont val="DengXian"/>
        <charset val="134"/>
      </rPr>
      <t>DB-B022</t>
    </r>
  </si>
  <si>
    <r>
      <rPr>
        <b/>
        <sz val="10"/>
        <rFont val="SimSun"/>
        <charset val="134"/>
      </rPr>
      <t>铸铁梯形</t>
    </r>
  </si>
  <si>
    <r>
      <rPr>
        <b/>
        <sz val="10"/>
        <rFont val="SimSun"/>
        <charset val="134"/>
      </rPr>
      <t>415*415</t>
    </r>
  </si>
  <si>
    <r>
      <rPr>
        <b/>
        <sz val="11"/>
        <rFont val="DengXian"/>
        <charset val="134"/>
      </rPr>
      <t>DB-B021</t>
    </r>
  </si>
  <si>
    <r>
      <rPr>
        <b/>
        <sz val="11"/>
        <rFont val="DengXian"/>
        <charset val="134"/>
      </rPr>
      <t>DB-B023</t>
    </r>
  </si>
  <si>
    <r>
      <rPr>
        <b/>
        <sz val="11"/>
        <rFont val="DengXian"/>
        <charset val="134"/>
      </rPr>
      <t>DB-B049</t>
    </r>
  </si>
  <si>
    <r>
      <rPr>
        <b/>
        <sz val="10"/>
        <rFont val="SimSun"/>
        <charset val="134"/>
      </rPr>
      <t>铸铁菊花盘</t>
    </r>
  </si>
  <si>
    <r>
      <rPr>
        <b/>
        <sz val="11"/>
        <rFont val="DengXian"/>
        <charset val="134"/>
      </rPr>
      <t>DB-B035</t>
    </r>
  </si>
  <si>
    <r>
      <rPr>
        <b/>
        <sz val="10"/>
        <rFont val="SimSun"/>
        <charset val="134"/>
      </rPr>
      <t xml:space="preserve">铸铁菊花盘
</t>
    </r>
    <r>
      <rPr>
        <b/>
        <sz val="10"/>
        <rFont val="SimSun"/>
        <charset val="134"/>
      </rPr>
      <t>带调节脚</t>
    </r>
  </si>
  <si>
    <t>圆吧台架
76圆管 厚1.0mm</t>
  </si>
  <si>
    <r>
      <rPr>
        <b/>
        <sz val="11"/>
        <rFont val="DengXian"/>
        <charset val="134"/>
      </rPr>
      <t>DB-B037</t>
    </r>
  </si>
  <si>
    <t>方吧台架
76圆管 厚1.0mm</t>
  </si>
  <si>
    <r>
      <rPr>
        <b/>
        <sz val="11"/>
        <rFont val="DengXian"/>
        <charset val="134"/>
      </rPr>
      <t>DB-B036</t>
    </r>
  </si>
  <si>
    <t>连体圆吧台架
76圆管 厚1.0mm</t>
  </si>
  <si>
    <r>
      <rPr>
        <b/>
        <sz val="11"/>
        <rFont val="DengXian"/>
        <charset val="134"/>
      </rPr>
      <t>DB-B038</t>
    </r>
  </si>
  <si>
    <t>连体方吧台架
76圆管 厚1.0mm</t>
  </si>
  <si>
    <t>铸铁小龙四
爪</t>
  </si>
  <si>
    <t>400*400</t>
  </si>
  <si>
    <r>
      <rPr>
        <b/>
        <sz val="10"/>
        <rFont val="SimSun"/>
        <charset val="134"/>
      </rPr>
      <t>铸铁实心柱</t>
    </r>
  </si>
  <si>
    <r>
      <rPr>
        <b/>
        <sz val="11"/>
        <rFont val="DengXian"/>
        <charset val="134"/>
      </rPr>
      <t>DB-B027</t>
    </r>
  </si>
  <si>
    <t>铸铁大龙四
爪</t>
  </si>
  <si>
    <t>430*430</t>
  </si>
  <si>
    <r>
      <rPr>
        <b/>
        <sz val="10"/>
        <rFont val="SimSun"/>
        <charset val="134"/>
      </rPr>
      <t>铸铁龙三爪</t>
    </r>
  </si>
  <si>
    <r>
      <rPr>
        <b/>
        <sz val="10"/>
        <rFont val="SimSun"/>
        <charset val="134"/>
      </rPr>
      <t>530*530</t>
    </r>
  </si>
  <si>
    <r>
      <rPr>
        <b/>
        <sz val="11"/>
        <rFont val="DengXian"/>
        <charset val="134"/>
      </rPr>
      <t>DB-B047</t>
    </r>
  </si>
  <si>
    <r>
      <rPr>
        <b/>
        <sz val="10"/>
        <rFont val="SimSun"/>
        <charset val="134"/>
      </rPr>
      <t xml:space="preserve">铸铁平十字
</t>
    </r>
    <r>
      <rPr>
        <b/>
        <sz val="10"/>
        <rFont val="SimSun"/>
        <charset val="134"/>
      </rPr>
      <t>脚</t>
    </r>
  </si>
  <si>
    <r>
      <rPr>
        <b/>
        <sz val="10"/>
        <rFont val="SimSun"/>
        <charset val="134"/>
      </rPr>
      <t>750*750</t>
    </r>
  </si>
  <si>
    <r>
      <rPr>
        <b/>
        <sz val="11"/>
        <rFont val="DengXian"/>
        <charset val="134"/>
      </rPr>
      <t>DB-B046</t>
    </r>
  </si>
  <si>
    <r>
      <rPr>
        <b/>
        <sz val="10"/>
        <rFont val="SimSun"/>
        <charset val="134"/>
      </rPr>
      <t>铸铁弧形十字脚</t>
    </r>
  </si>
  <si>
    <r>
      <rPr>
        <b/>
        <sz val="10"/>
        <rFont val="SimSun"/>
        <charset val="134"/>
      </rPr>
      <t>620*620</t>
    </r>
  </si>
  <si>
    <r>
      <rPr>
        <b/>
        <sz val="11"/>
        <rFont val="DengXian"/>
        <charset val="134"/>
      </rPr>
      <t>DB-B045</t>
    </r>
  </si>
  <si>
    <r>
      <rPr>
        <b/>
        <sz val="11"/>
        <rFont val="DengXian"/>
        <charset val="134"/>
      </rPr>
      <t>DB-B031</t>
    </r>
  </si>
  <si>
    <r>
      <rPr>
        <b/>
        <sz val="10"/>
        <rFont val="SimSun"/>
        <charset val="134"/>
      </rPr>
      <t xml:space="preserve">铸铁组合三
</t>
    </r>
    <r>
      <rPr>
        <b/>
        <sz val="10"/>
        <rFont val="SimSun"/>
        <charset val="134"/>
      </rPr>
      <t>爪</t>
    </r>
  </si>
  <si>
    <r>
      <rPr>
        <b/>
        <sz val="11"/>
        <rFont val="DengXian"/>
        <charset val="134"/>
      </rPr>
      <t>DB-B032</t>
    </r>
  </si>
  <si>
    <r>
      <rPr>
        <b/>
        <sz val="10"/>
        <rFont val="SimSun"/>
        <charset val="134"/>
      </rPr>
      <t xml:space="preserve">铸铁组合四
</t>
    </r>
    <r>
      <rPr>
        <b/>
        <sz val="10"/>
        <rFont val="SimSun"/>
        <charset val="134"/>
      </rPr>
      <t>爪</t>
    </r>
  </si>
  <si>
    <r>
      <rPr>
        <b/>
        <sz val="11"/>
        <rFont val="DengXian"/>
        <charset val="134"/>
      </rPr>
      <t>DB-B034</t>
    </r>
  </si>
  <si>
    <r>
      <rPr>
        <b/>
        <sz val="10"/>
        <rFont val="SimSun"/>
        <charset val="134"/>
      </rPr>
      <t xml:space="preserve">铸铁连体组
</t>
    </r>
    <r>
      <rPr>
        <b/>
        <sz val="10"/>
        <rFont val="SimSun"/>
        <charset val="134"/>
      </rPr>
      <t>合四爪</t>
    </r>
  </si>
  <si>
    <r>
      <rPr>
        <b/>
        <sz val="11"/>
        <rFont val="DengXian"/>
        <charset val="134"/>
      </rPr>
      <t>DB-B024</t>
    </r>
  </si>
  <si>
    <r>
      <rPr>
        <b/>
        <sz val="10"/>
        <rFont val="SimSun"/>
        <charset val="134"/>
      </rPr>
      <t>铸铁一字脚</t>
    </r>
  </si>
  <si>
    <r>
      <rPr>
        <b/>
        <sz val="10"/>
        <rFont val="SimSun"/>
        <charset val="134"/>
      </rPr>
      <t xml:space="preserve">铸铁560*80
</t>
    </r>
    <r>
      <rPr>
        <b/>
        <sz val="10"/>
        <rFont val="SimSun"/>
        <charset val="134"/>
      </rPr>
      <t>带调节脚</t>
    </r>
  </si>
  <si>
    <r>
      <rPr>
        <b/>
        <sz val="11"/>
        <rFont val="DengXian"/>
        <charset val="134"/>
      </rPr>
      <t>DB-B025</t>
    </r>
  </si>
  <si>
    <r>
      <rPr>
        <b/>
        <sz val="10"/>
        <rFont val="SimSun"/>
        <charset val="134"/>
      </rPr>
      <t xml:space="preserve">铸铁一字脚
</t>
    </r>
    <r>
      <rPr>
        <b/>
        <sz val="10"/>
        <rFont val="SimSun"/>
        <charset val="134"/>
      </rPr>
      <t>单杠</t>
    </r>
  </si>
  <si>
    <r>
      <rPr>
        <b/>
        <sz val="11"/>
        <rFont val="DengXian"/>
        <charset val="134"/>
      </rPr>
      <t>DB-B026</t>
    </r>
  </si>
  <si>
    <r>
      <rPr>
        <b/>
        <sz val="10"/>
        <rFont val="SimSun"/>
        <charset val="134"/>
      </rPr>
      <t xml:space="preserve">铸铁一字脚
</t>
    </r>
    <r>
      <rPr>
        <b/>
        <sz val="10"/>
        <rFont val="SimSun"/>
        <charset val="134"/>
      </rPr>
      <t>双杠</t>
    </r>
  </si>
  <si>
    <r>
      <rPr>
        <b/>
        <sz val="10"/>
        <rFont val="SimSun"/>
        <charset val="134"/>
      </rPr>
      <t>电镀喇叭脚</t>
    </r>
  </si>
  <si>
    <r>
      <rPr>
        <b/>
        <sz val="10"/>
        <rFont val="SimSun"/>
        <charset val="134"/>
      </rPr>
      <t>电镀</t>
    </r>
  </si>
  <si>
    <t>圆450
厚1.6</t>
  </si>
  <si>
    <t>不锈钢管  圆60
厚1.0mm</t>
  </si>
  <si>
    <r>
      <rPr>
        <b/>
        <sz val="11"/>
        <rFont val="DengXian"/>
        <charset val="134"/>
      </rPr>
      <t>DB-B017</t>
    </r>
  </si>
  <si>
    <r>
      <rPr>
        <b/>
        <sz val="10"/>
        <rFont val="SimSun"/>
        <charset val="134"/>
      </rPr>
      <t>拆装喇叭</t>
    </r>
  </si>
  <si>
    <r>
      <rPr>
        <b/>
        <sz val="10"/>
        <rFont val="SimSun"/>
        <charset val="134"/>
      </rPr>
      <t>黑/白</t>
    </r>
  </si>
  <si>
    <t>圆500
厚1.6</t>
  </si>
  <si>
    <r>
      <rPr>
        <b/>
        <sz val="10"/>
        <rFont val="SimSun"/>
        <charset val="134"/>
      </rPr>
      <t>小蛮腰</t>
    </r>
  </si>
  <si>
    <r>
      <rPr>
        <b/>
        <sz val="11"/>
        <rFont val="DengXian"/>
        <charset val="134"/>
      </rPr>
      <t>DB-B015</t>
    </r>
  </si>
  <si>
    <r>
      <rPr>
        <b/>
        <sz val="10"/>
        <rFont val="SimSun"/>
        <charset val="134"/>
      </rPr>
      <t>喇叭脚</t>
    </r>
  </si>
  <si>
    <r>
      <rPr>
        <b/>
        <sz val="10"/>
        <rFont val="SimSun"/>
        <charset val="134"/>
      </rPr>
      <t>圆510</t>
    </r>
  </si>
  <si>
    <r>
      <rPr>
        <b/>
        <sz val="10"/>
        <rFont val="SimSun"/>
        <charset val="134"/>
      </rPr>
      <t>白</t>
    </r>
  </si>
  <si>
    <t>连体喇叭
上圆380  厚5钢板
下圆510  厚5钢板</t>
  </si>
  <si>
    <r>
      <rPr>
        <b/>
        <sz val="11"/>
        <rFont val="DengXian"/>
        <charset val="134"/>
      </rPr>
      <t>DB-B016</t>
    </r>
  </si>
  <si>
    <r>
      <rPr>
        <b/>
        <sz val="11"/>
        <rFont val="DengXian"/>
        <charset val="134"/>
      </rPr>
      <t>DB-B065</t>
    </r>
  </si>
  <si>
    <r>
      <rPr>
        <b/>
        <sz val="10"/>
        <rFont val="SimSun"/>
        <charset val="134"/>
      </rPr>
      <t>托盘</t>
    </r>
  </si>
  <si>
    <t>250*250
3厚</t>
  </si>
  <si>
    <t>300*300
2厚</t>
  </si>
  <si>
    <t>300*300
3厚</t>
  </si>
  <si>
    <t>350*350
3厚</t>
  </si>
  <si>
    <r>
      <rPr>
        <b/>
        <sz val="11"/>
        <rFont val="DengXian"/>
        <charset val="134"/>
      </rPr>
      <t>DB-B062</t>
    </r>
  </si>
  <si>
    <r>
      <rPr>
        <b/>
        <sz val="10"/>
        <rFont val="SimSun"/>
        <charset val="134"/>
      </rPr>
      <t>20*40方管</t>
    </r>
  </si>
  <si>
    <r>
      <rPr>
        <b/>
        <sz val="11"/>
        <rFont val="DengXian"/>
        <charset val="134"/>
      </rPr>
      <t>DB-B061</t>
    </r>
  </si>
  <si>
    <r>
      <rPr>
        <b/>
        <sz val="11"/>
        <rFont val="DengXian"/>
        <charset val="134"/>
      </rPr>
      <t>DB-B067</t>
    </r>
  </si>
  <si>
    <t>框架25*25方管</t>
  </si>
  <si>
    <t>500*500</t>
  </si>
  <si>
    <t>700*700</t>
  </si>
  <si>
    <r>
      <rPr>
        <b/>
        <sz val="11"/>
        <rFont val="DengXian"/>
        <charset val="134"/>
      </rPr>
      <t>DB-B066</t>
    </r>
  </si>
  <si>
    <t xml:space="preserve">400*800
</t>
  </si>
  <si>
    <t xml:space="preserve">500*1000
</t>
  </si>
  <si>
    <t xml:space="preserve">500*1200
</t>
  </si>
  <si>
    <t xml:space="preserve">500*1600
</t>
  </si>
  <si>
    <r>
      <rPr>
        <b/>
        <sz val="11"/>
        <rFont val="DengXian"/>
        <charset val="134"/>
      </rPr>
      <t>DB-B069</t>
    </r>
  </si>
  <si>
    <t>双层架
总高11cm
内空8cm25*25方管</t>
  </si>
  <si>
    <r>
      <rPr>
        <b/>
        <sz val="11"/>
        <rFont val="DengXian"/>
        <charset val="134"/>
      </rPr>
      <t>DB-B068</t>
    </r>
  </si>
  <si>
    <t>DB-B070</t>
  </si>
  <si>
    <r>
      <rPr>
        <b/>
        <sz val="10"/>
        <rFont val="SimSun"/>
        <charset val="134"/>
      </rPr>
      <t>20*30管</t>
    </r>
  </si>
  <si>
    <r>
      <rPr>
        <b/>
        <sz val="10"/>
        <rFont val="SimSun"/>
        <charset val="134"/>
      </rPr>
      <t>圆1200框架</t>
    </r>
  </si>
  <si>
    <r>
      <rPr>
        <b/>
        <sz val="10"/>
        <rFont val="SimSun"/>
        <charset val="134"/>
      </rPr>
      <t>圆1500框架</t>
    </r>
  </si>
  <si>
    <r>
      <rPr>
        <b/>
        <sz val="11"/>
        <rFont val="DengXian"/>
        <charset val="134"/>
      </rPr>
      <t>DB-B063</t>
    </r>
  </si>
  <si>
    <r>
      <rPr>
        <b/>
        <sz val="10"/>
        <rFont val="SimSun"/>
        <charset val="134"/>
      </rPr>
      <t>铸铁十字架</t>
    </r>
  </si>
  <si>
    <r>
      <rPr>
        <b/>
        <sz val="11"/>
        <rFont val="DengXian"/>
        <charset val="134"/>
      </rPr>
      <t>DB-B064</t>
    </r>
  </si>
  <si>
    <r>
      <rPr>
        <b/>
        <sz val="10"/>
        <rFont val="SimSun"/>
        <charset val="134"/>
      </rPr>
      <t>铸铁米字架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</si>
</sst>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35">
    <font>
      <sz val="11"/>
      <color rgb="FF000000"/>
      <name val="Arial"/>
      <charset val="204"/>
    </font>
    <font>
      <b/>
      <sz val="15"/>
      <name val="SimSun"/>
      <charset val="134"/>
    </font>
    <font>
      <b/>
      <sz val="10"/>
      <name val="SimSun"/>
      <charset val="134"/>
    </font>
    <font>
      <sz val="11"/>
      <name val="SimSun"/>
      <charset val="204"/>
    </font>
    <font>
      <b/>
      <sz val="11"/>
      <color rgb="FF000000"/>
      <name val="DengXian"/>
      <charset val="134"/>
    </font>
    <font>
      <b/>
      <sz val="10"/>
      <color rgb="FF000000"/>
      <name val="SimSun"/>
      <charset val="134"/>
    </font>
    <font>
      <b/>
      <sz val="8"/>
      <color rgb="FF000000"/>
      <name val="SimSun"/>
      <charset val="134"/>
    </font>
    <font>
      <b/>
      <sz val="9"/>
      <color rgb="FF000000"/>
      <name val="SimSun"/>
      <charset val="134"/>
    </font>
    <font>
      <b/>
      <sz val="20"/>
      <color rgb="FF000000"/>
      <name val="MS Gothic"/>
      <charset val="128"/>
    </font>
    <font>
      <sz val="11"/>
      <color rgb="FF000000"/>
      <name val="SimSun"/>
      <charset val="204"/>
    </font>
    <font>
      <b/>
      <sz val="20"/>
      <color rgb="FFFF0000"/>
      <name val="MS Gothic"/>
      <charset val="128"/>
    </font>
    <font>
      <b/>
      <sz val="11"/>
      <name val="DengXian"/>
      <charset val="134"/>
    </font>
    <font>
      <b/>
      <sz val="6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SimSun"/>
      <charset val="134"/>
    </font>
    <font>
      <vertAlign val="superscript"/>
      <sz val="11"/>
      <name val="SimSu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1"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11" fillId="0" borderId="4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5" xfId="0" applyBorder="1" applyAlignment="1">
      <alignment horizontal="center" vertical="top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pn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180340</xdr:colOff>
      <xdr:row>1</xdr:row>
      <xdr:rowOff>202565</xdr:rowOff>
    </xdr:from>
    <xdr:ext cx="558165" cy="995680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" y="799465"/>
          <a:ext cx="558165" cy="995680"/>
        </a:xfrm>
        <a:prstGeom prst="rect">
          <a:avLst/>
        </a:prstGeom>
      </xdr:spPr>
    </xdr:pic>
    <xdr:clientData/>
  </xdr:oneCellAnchor>
  <xdr:oneCellAnchor>
    <xdr:from>
      <xdr:col>1</xdr:col>
      <xdr:colOff>169545</xdr:colOff>
      <xdr:row>6</xdr:row>
      <xdr:rowOff>53340</xdr:rowOff>
    </xdr:from>
    <xdr:ext cx="495300" cy="1039494"/>
    <xdr:pic>
      <xdr:nvPicPr>
        <xdr:cNvPr id="4" name="image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" y="3545840"/>
          <a:ext cx="495300" cy="1038860"/>
        </a:xfrm>
        <a:prstGeom prst="rect">
          <a:avLst/>
        </a:prstGeom>
      </xdr:spPr>
    </xdr:pic>
    <xdr:clientData/>
  </xdr:oneCellAnchor>
  <xdr:oneCellAnchor>
    <xdr:from>
      <xdr:col>1</xdr:col>
      <xdr:colOff>120650</xdr:colOff>
      <xdr:row>25</xdr:row>
      <xdr:rowOff>105410</xdr:rowOff>
    </xdr:from>
    <xdr:ext cx="536575" cy="1047114"/>
    <xdr:pic>
      <xdr:nvPicPr>
        <xdr:cNvPr id="7" name="image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370" y="13366115"/>
          <a:ext cx="536575" cy="1046480"/>
        </a:xfrm>
        <a:prstGeom prst="rect">
          <a:avLst/>
        </a:prstGeom>
      </xdr:spPr>
    </xdr:pic>
    <xdr:clientData/>
  </xdr:oneCellAnchor>
  <xdr:oneCellAnchor>
    <xdr:from>
      <xdr:col>1</xdr:col>
      <xdr:colOff>116204</xdr:colOff>
      <xdr:row>22</xdr:row>
      <xdr:rowOff>118745</xdr:rowOff>
    </xdr:from>
    <xdr:ext cx="547369" cy="1021080"/>
    <xdr:pic>
      <xdr:nvPicPr>
        <xdr:cNvPr id="8" name="image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290" y="12122150"/>
          <a:ext cx="547370" cy="1021080"/>
        </a:xfrm>
        <a:prstGeom prst="rect">
          <a:avLst/>
        </a:prstGeom>
      </xdr:spPr>
    </xdr:pic>
    <xdr:clientData/>
  </xdr:oneCellAnchor>
  <xdr:oneCellAnchor>
    <xdr:from>
      <xdr:col>1</xdr:col>
      <xdr:colOff>52069</xdr:colOff>
      <xdr:row>28</xdr:row>
      <xdr:rowOff>104775</xdr:rowOff>
    </xdr:from>
    <xdr:ext cx="675640" cy="726440"/>
    <xdr:pic>
      <xdr:nvPicPr>
        <xdr:cNvPr id="9" name="image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" y="14622780"/>
          <a:ext cx="675640" cy="726440"/>
        </a:xfrm>
        <a:prstGeom prst="rect">
          <a:avLst/>
        </a:prstGeom>
      </xdr:spPr>
    </xdr:pic>
    <xdr:clientData/>
  </xdr:oneCellAnchor>
  <xdr:oneCellAnchor>
    <xdr:from>
      <xdr:col>1</xdr:col>
      <xdr:colOff>143510</xdr:colOff>
      <xdr:row>18</xdr:row>
      <xdr:rowOff>102870</xdr:rowOff>
    </xdr:from>
    <xdr:ext cx="661669" cy="649605"/>
    <xdr:pic>
      <xdr:nvPicPr>
        <xdr:cNvPr id="10" name="image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230" y="10086975"/>
          <a:ext cx="661035" cy="649605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16</xdr:row>
      <xdr:rowOff>66675</xdr:rowOff>
    </xdr:from>
    <xdr:ext cx="609600" cy="685800"/>
    <xdr:pic>
      <xdr:nvPicPr>
        <xdr:cNvPr id="11" name="image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780" y="8907780"/>
          <a:ext cx="609600" cy="685800"/>
        </a:xfrm>
        <a:prstGeom prst="rect">
          <a:avLst/>
        </a:prstGeom>
      </xdr:spPr>
    </xdr:pic>
    <xdr:clientData/>
  </xdr:oneCellAnchor>
  <xdr:oneCellAnchor>
    <xdr:from>
      <xdr:col>1</xdr:col>
      <xdr:colOff>106680</xdr:colOff>
      <xdr:row>29</xdr:row>
      <xdr:rowOff>53340</xdr:rowOff>
    </xdr:from>
    <xdr:ext cx="535305" cy="779780"/>
    <xdr:pic>
      <xdr:nvPicPr>
        <xdr:cNvPr id="12" name="image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5478125"/>
          <a:ext cx="535305" cy="779780"/>
        </a:xfrm>
        <a:prstGeom prst="rect">
          <a:avLst/>
        </a:prstGeom>
      </xdr:spPr>
    </xdr:pic>
    <xdr:clientData/>
  </xdr:oneCellAnchor>
  <xdr:oneCellAnchor>
    <xdr:from>
      <xdr:col>1</xdr:col>
      <xdr:colOff>193675</xdr:colOff>
      <xdr:row>36</xdr:row>
      <xdr:rowOff>59055</xdr:rowOff>
    </xdr:from>
    <xdr:ext cx="562609" cy="1118235"/>
    <xdr:pic>
      <xdr:nvPicPr>
        <xdr:cNvPr id="13" name="image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395" y="19455765"/>
          <a:ext cx="561975" cy="1118235"/>
        </a:xfrm>
        <a:prstGeom prst="rect">
          <a:avLst/>
        </a:prstGeom>
      </xdr:spPr>
    </xdr:pic>
    <xdr:clientData/>
  </xdr:oneCellAnchor>
  <xdr:oneCellAnchor>
    <xdr:from>
      <xdr:col>1</xdr:col>
      <xdr:colOff>67310</xdr:colOff>
      <xdr:row>41</xdr:row>
      <xdr:rowOff>95885</xdr:rowOff>
    </xdr:from>
    <xdr:ext cx="571500" cy="1115694"/>
    <xdr:pic>
      <xdr:nvPicPr>
        <xdr:cNvPr id="14" name="image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030" y="22667595"/>
          <a:ext cx="571500" cy="1115060"/>
        </a:xfrm>
        <a:prstGeom prst="rect">
          <a:avLst/>
        </a:prstGeom>
      </xdr:spPr>
    </xdr:pic>
    <xdr:clientData/>
  </xdr:oneCellAnchor>
  <xdr:oneCellAnchor>
    <xdr:from>
      <xdr:col>1</xdr:col>
      <xdr:colOff>132079</xdr:colOff>
      <xdr:row>32</xdr:row>
      <xdr:rowOff>123825</xdr:rowOff>
    </xdr:from>
    <xdr:ext cx="513715" cy="1010919"/>
    <xdr:pic>
      <xdr:nvPicPr>
        <xdr:cNvPr id="15" name="image1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" y="17188815"/>
          <a:ext cx="513715" cy="1010285"/>
        </a:xfrm>
        <a:prstGeom prst="rect">
          <a:avLst/>
        </a:prstGeom>
      </xdr:spPr>
    </xdr:pic>
    <xdr:clientData/>
  </xdr:oneCellAnchor>
  <xdr:oneCellAnchor>
    <xdr:from>
      <xdr:col>1</xdr:col>
      <xdr:colOff>58419</xdr:colOff>
      <xdr:row>40</xdr:row>
      <xdr:rowOff>132714</xdr:rowOff>
    </xdr:from>
    <xdr:ext cx="661669" cy="751205"/>
    <xdr:pic>
      <xdr:nvPicPr>
        <xdr:cNvPr id="16" name="image1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505" y="21662390"/>
          <a:ext cx="661670" cy="751205"/>
        </a:xfrm>
        <a:prstGeom prst="rect">
          <a:avLst/>
        </a:prstGeom>
      </xdr:spPr>
    </xdr:pic>
    <xdr:clientData/>
  </xdr:oneCellAnchor>
  <xdr:oneCellAnchor>
    <xdr:from>
      <xdr:col>1</xdr:col>
      <xdr:colOff>69214</xdr:colOff>
      <xdr:row>35</xdr:row>
      <xdr:rowOff>93344</xdr:rowOff>
    </xdr:from>
    <xdr:ext cx="640715" cy="716280"/>
    <xdr:pic>
      <xdr:nvPicPr>
        <xdr:cNvPr id="17" name="image1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8415000"/>
          <a:ext cx="640715" cy="716280"/>
        </a:xfrm>
        <a:prstGeom prst="rect">
          <a:avLst/>
        </a:prstGeom>
      </xdr:spPr>
    </xdr:pic>
    <xdr:clientData/>
  </xdr:oneCellAnchor>
  <xdr:oneCellAnchor>
    <xdr:from>
      <xdr:col>1</xdr:col>
      <xdr:colOff>48894</xdr:colOff>
      <xdr:row>39</xdr:row>
      <xdr:rowOff>41275</xdr:rowOff>
    </xdr:from>
    <xdr:ext cx="626744" cy="721359"/>
    <xdr:pic>
      <xdr:nvPicPr>
        <xdr:cNvPr id="18" name="image1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80" y="20695285"/>
          <a:ext cx="626745" cy="720725"/>
        </a:xfrm>
        <a:prstGeom prst="rect">
          <a:avLst/>
        </a:prstGeom>
      </xdr:spPr>
    </xdr:pic>
    <xdr:clientData/>
  </xdr:oneCellAnchor>
  <xdr:oneCellAnchor>
    <xdr:from>
      <xdr:col>1</xdr:col>
      <xdr:colOff>88264</xdr:colOff>
      <xdr:row>44</xdr:row>
      <xdr:rowOff>189229</xdr:rowOff>
    </xdr:from>
    <xdr:ext cx="602615" cy="681355"/>
    <xdr:pic>
      <xdr:nvPicPr>
        <xdr:cNvPr id="19" name="image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24246205"/>
          <a:ext cx="602615" cy="681355"/>
        </a:xfrm>
        <a:prstGeom prst="rect">
          <a:avLst/>
        </a:prstGeom>
      </xdr:spPr>
    </xdr:pic>
    <xdr:clientData/>
  </xdr:oneCellAnchor>
  <xdr:oneCellAnchor>
    <xdr:from>
      <xdr:col>1</xdr:col>
      <xdr:colOff>82550</xdr:colOff>
      <xdr:row>45</xdr:row>
      <xdr:rowOff>60325</xdr:rowOff>
    </xdr:from>
    <xdr:ext cx="585469" cy="672465"/>
    <xdr:pic>
      <xdr:nvPicPr>
        <xdr:cNvPr id="20" name="image1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0" y="25184735"/>
          <a:ext cx="584835" cy="672465"/>
        </a:xfrm>
        <a:prstGeom prst="rect">
          <a:avLst/>
        </a:prstGeom>
      </xdr:spPr>
    </xdr:pic>
    <xdr:clientData/>
  </xdr:oneCellAnchor>
  <xdr:oneCellAnchor>
    <xdr:from>
      <xdr:col>1</xdr:col>
      <xdr:colOff>107950</xdr:colOff>
      <xdr:row>30</xdr:row>
      <xdr:rowOff>375284</xdr:rowOff>
    </xdr:from>
    <xdr:ext cx="535305" cy="273050"/>
    <xdr:pic>
      <xdr:nvPicPr>
        <xdr:cNvPr id="21" name="image2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670" y="16218535"/>
          <a:ext cx="535305" cy="273050"/>
        </a:xfrm>
        <a:prstGeom prst="rect">
          <a:avLst/>
        </a:prstGeom>
      </xdr:spPr>
    </xdr:pic>
    <xdr:clientData/>
  </xdr:oneCellAnchor>
  <xdr:oneCellAnchor>
    <xdr:from>
      <xdr:col>1</xdr:col>
      <xdr:colOff>74294</xdr:colOff>
      <xdr:row>55</xdr:row>
      <xdr:rowOff>184785</xdr:rowOff>
    </xdr:from>
    <xdr:ext cx="629919" cy="1087119"/>
    <xdr:pic>
      <xdr:nvPicPr>
        <xdr:cNvPr id="22" name="image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380" y="29957395"/>
          <a:ext cx="629920" cy="1086485"/>
        </a:xfrm>
        <a:prstGeom prst="rect">
          <a:avLst/>
        </a:prstGeom>
      </xdr:spPr>
    </xdr:pic>
    <xdr:clientData/>
  </xdr:oneCellAnchor>
  <xdr:oneCellAnchor>
    <xdr:from>
      <xdr:col>1</xdr:col>
      <xdr:colOff>116204</xdr:colOff>
      <xdr:row>58</xdr:row>
      <xdr:rowOff>175895</xdr:rowOff>
    </xdr:from>
    <xdr:ext cx="546100" cy="1104900"/>
    <xdr:pic>
      <xdr:nvPicPr>
        <xdr:cNvPr id="23" name="image2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290" y="31205805"/>
          <a:ext cx="546100" cy="1104900"/>
        </a:xfrm>
        <a:prstGeom prst="rect">
          <a:avLst/>
        </a:prstGeom>
      </xdr:spPr>
    </xdr:pic>
    <xdr:clientData/>
  </xdr:oneCellAnchor>
  <xdr:oneCellAnchor>
    <xdr:from>
      <xdr:col>1</xdr:col>
      <xdr:colOff>41275</xdr:colOff>
      <xdr:row>64</xdr:row>
      <xdr:rowOff>53339</xdr:rowOff>
    </xdr:from>
    <xdr:ext cx="696594" cy="763269"/>
    <xdr:pic>
      <xdr:nvPicPr>
        <xdr:cNvPr id="24" name="image2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995" y="33724215"/>
          <a:ext cx="695960" cy="763270"/>
        </a:xfrm>
        <a:prstGeom prst="rect">
          <a:avLst/>
        </a:prstGeom>
      </xdr:spPr>
    </xdr:pic>
    <xdr:clientData/>
  </xdr:oneCellAnchor>
  <xdr:oneCellAnchor>
    <xdr:from>
      <xdr:col>1</xdr:col>
      <xdr:colOff>93344</xdr:colOff>
      <xdr:row>49</xdr:row>
      <xdr:rowOff>42544</xdr:rowOff>
    </xdr:from>
    <xdr:ext cx="530859" cy="1001394"/>
    <xdr:pic>
      <xdr:nvPicPr>
        <xdr:cNvPr id="25" name="image2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430" y="27299920"/>
          <a:ext cx="530860" cy="1001395"/>
        </a:xfrm>
        <a:prstGeom prst="rect">
          <a:avLst/>
        </a:prstGeom>
      </xdr:spPr>
    </xdr:pic>
    <xdr:clientData/>
  </xdr:oneCellAnchor>
  <xdr:oneCellAnchor>
    <xdr:from>
      <xdr:col>1</xdr:col>
      <xdr:colOff>99694</xdr:colOff>
      <xdr:row>52</xdr:row>
      <xdr:rowOff>46355</xdr:rowOff>
    </xdr:from>
    <xdr:ext cx="501650" cy="928369"/>
    <xdr:pic>
      <xdr:nvPicPr>
        <xdr:cNvPr id="26" name="image2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28561665"/>
          <a:ext cx="501650" cy="927735"/>
        </a:xfrm>
        <a:prstGeom prst="rect">
          <a:avLst/>
        </a:prstGeom>
      </xdr:spPr>
    </xdr:pic>
    <xdr:clientData/>
  </xdr:oneCellAnchor>
  <xdr:oneCellAnchor>
    <xdr:from>
      <xdr:col>1</xdr:col>
      <xdr:colOff>146050</xdr:colOff>
      <xdr:row>46</xdr:row>
      <xdr:rowOff>44450</xdr:rowOff>
    </xdr:from>
    <xdr:ext cx="471169" cy="916305"/>
    <xdr:pic>
      <xdr:nvPicPr>
        <xdr:cNvPr id="27" name="image2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770" y="26045160"/>
          <a:ext cx="470535" cy="916305"/>
        </a:xfrm>
        <a:prstGeom prst="rect">
          <a:avLst/>
        </a:prstGeom>
      </xdr:spPr>
    </xdr:pic>
    <xdr:clientData/>
  </xdr:oneCellAnchor>
  <xdr:oneCellAnchor>
    <xdr:from>
      <xdr:col>1</xdr:col>
      <xdr:colOff>207010</xdr:colOff>
      <xdr:row>61</xdr:row>
      <xdr:rowOff>113030</xdr:rowOff>
    </xdr:from>
    <xdr:ext cx="633094" cy="617855"/>
    <xdr:pic>
      <xdr:nvPicPr>
        <xdr:cNvPr id="28" name="image2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730" y="32527240"/>
          <a:ext cx="632460" cy="617855"/>
        </a:xfrm>
        <a:prstGeom prst="rect">
          <a:avLst/>
        </a:prstGeom>
      </xdr:spPr>
    </xdr:pic>
    <xdr:clientData/>
  </xdr:oneCellAnchor>
  <xdr:oneCellAnchor>
    <xdr:from>
      <xdr:col>1</xdr:col>
      <xdr:colOff>160655</xdr:colOff>
      <xdr:row>66</xdr:row>
      <xdr:rowOff>57785</xdr:rowOff>
    </xdr:from>
    <xdr:ext cx="532130" cy="1083944"/>
    <xdr:pic>
      <xdr:nvPicPr>
        <xdr:cNvPr id="29" name="image2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75" y="34826575"/>
          <a:ext cx="532130" cy="1083310"/>
        </a:xfrm>
        <a:prstGeom prst="rect">
          <a:avLst/>
        </a:prstGeom>
      </xdr:spPr>
    </xdr:pic>
    <xdr:clientData/>
  </xdr:oneCellAnchor>
  <xdr:oneCellAnchor>
    <xdr:from>
      <xdr:col>1</xdr:col>
      <xdr:colOff>200025</xdr:colOff>
      <xdr:row>69</xdr:row>
      <xdr:rowOff>241300</xdr:rowOff>
    </xdr:from>
    <xdr:ext cx="634365" cy="710565"/>
    <xdr:pic>
      <xdr:nvPicPr>
        <xdr:cNvPr id="30" name="image2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45" y="36838890"/>
          <a:ext cx="634365" cy="710565"/>
        </a:xfrm>
        <a:prstGeom prst="rect">
          <a:avLst/>
        </a:prstGeom>
      </xdr:spPr>
    </xdr:pic>
    <xdr:clientData/>
  </xdr:oneCellAnchor>
  <xdr:oneCellAnchor>
    <xdr:from>
      <xdr:col>1</xdr:col>
      <xdr:colOff>77469</xdr:colOff>
      <xdr:row>75</xdr:row>
      <xdr:rowOff>151764</xdr:rowOff>
    </xdr:from>
    <xdr:ext cx="623569" cy="680084"/>
    <xdr:pic>
      <xdr:nvPicPr>
        <xdr:cNvPr id="31" name="image3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55" y="43192700"/>
          <a:ext cx="623570" cy="680085"/>
        </a:xfrm>
        <a:prstGeom prst="rect">
          <a:avLst/>
        </a:prstGeom>
      </xdr:spPr>
    </xdr:pic>
    <xdr:clientData/>
  </xdr:oneCellAnchor>
  <xdr:oneCellAnchor>
    <xdr:from>
      <xdr:col>1</xdr:col>
      <xdr:colOff>161289</xdr:colOff>
      <xdr:row>74</xdr:row>
      <xdr:rowOff>61594</xdr:rowOff>
    </xdr:from>
    <xdr:ext cx="455930" cy="923925"/>
    <xdr:pic>
      <xdr:nvPicPr>
        <xdr:cNvPr id="32" name="image3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75" y="42119550"/>
          <a:ext cx="455930" cy="923925"/>
        </a:xfrm>
        <a:prstGeom prst="rect">
          <a:avLst/>
        </a:prstGeom>
      </xdr:spPr>
    </xdr:pic>
    <xdr:clientData/>
  </xdr:oneCellAnchor>
  <xdr:oneCellAnchor>
    <xdr:from>
      <xdr:col>1</xdr:col>
      <xdr:colOff>89535</xdr:colOff>
      <xdr:row>72</xdr:row>
      <xdr:rowOff>233680</xdr:rowOff>
    </xdr:from>
    <xdr:ext cx="617855" cy="673734"/>
    <xdr:pic>
      <xdr:nvPicPr>
        <xdr:cNvPr id="33" name="image3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" y="39993570"/>
          <a:ext cx="617855" cy="673100"/>
        </a:xfrm>
        <a:prstGeom prst="rect">
          <a:avLst/>
        </a:prstGeom>
      </xdr:spPr>
    </xdr:pic>
    <xdr:clientData/>
  </xdr:oneCellAnchor>
  <xdr:oneCellAnchor>
    <xdr:from>
      <xdr:col>1</xdr:col>
      <xdr:colOff>179070</xdr:colOff>
      <xdr:row>73</xdr:row>
      <xdr:rowOff>64135</xdr:rowOff>
    </xdr:from>
    <xdr:ext cx="421005" cy="899160"/>
    <xdr:pic>
      <xdr:nvPicPr>
        <xdr:cNvPr id="34" name="image3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" y="40967025"/>
          <a:ext cx="421005" cy="899160"/>
        </a:xfrm>
        <a:prstGeom prst="rect">
          <a:avLst/>
        </a:prstGeom>
      </xdr:spPr>
    </xdr:pic>
    <xdr:clientData/>
  </xdr:oneCellAnchor>
  <xdr:oneCellAnchor>
    <xdr:from>
      <xdr:col>1</xdr:col>
      <xdr:colOff>182245</xdr:colOff>
      <xdr:row>70</xdr:row>
      <xdr:rowOff>102870</xdr:rowOff>
    </xdr:from>
    <xdr:ext cx="414655" cy="879475"/>
    <xdr:pic>
      <xdr:nvPicPr>
        <xdr:cNvPr id="35" name="image3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965" y="37729160"/>
          <a:ext cx="414655" cy="879475"/>
        </a:xfrm>
        <a:prstGeom prst="rect">
          <a:avLst/>
        </a:prstGeom>
      </xdr:spPr>
    </xdr:pic>
    <xdr:clientData/>
  </xdr:oneCellAnchor>
  <xdr:oneCellAnchor>
    <xdr:from>
      <xdr:col>1</xdr:col>
      <xdr:colOff>174625</xdr:colOff>
      <xdr:row>71</xdr:row>
      <xdr:rowOff>130175</xdr:rowOff>
    </xdr:from>
    <xdr:ext cx="428625" cy="820419"/>
    <xdr:pic>
      <xdr:nvPicPr>
        <xdr:cNvPr id="36" name="image3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45" y="38861365"/>
          <a:ext cx="428625" cy="819785"/>
        </a:xfrm>
        <a:prstGeom prst="rect">
          <a:avLst/>
        </a:prstGeom>
      </xdr:spPr>
    </xdr:pic>
    <xdr:clientData/>
  </xdr:oneCellAnchor>
  <xdr:oneCellAnchor>
    <xdr:from>
      <xdr:col>1</xdr:col>
      <xdr:colOff>36829</xdr:colOff>
      <xdr:row>65</xdr:row>
      <xdr:rowOff>352425</xdr:rowOff>
    </xdr:from>
    <xdr:ext cx="696594" cy="184150"/>
    <xdr:pic>
      <xdr:nvPicPr>
        <xdr:cNvPr id="37" name="image3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" y="34443035"/>
          <a:ext cx="696595" cy="184150"/>
        </a:xfrm>
        <a:prstGeom prst="rect">
          <a:avLst/>
        </a:prstGeom>
      </xdr:spPr>
    </xdr:pic>
    <xdr:clientData/>
  </xdr:oneCellAnchor>
  <xdr:oneCellAnchor>
    <xdr:from>
      <xdr:col>1</xdr:col>
      <xdr:colOff>64135</xdr:colOff>
      <xdr:row>76</xdr:row>
      <xdr:rowOff>177800</xdr:rowOff>
    </xdr:from>
    <xdr:ext cx="619125" cy="843280"/>
    <xdr:pic>
      <xdr:nvPicPr>
        <xdr:cNvPr id="38" name="image3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166"/>
        <a:stretch>
          <a:fillRect/>
        </a:stretch>
      </xdr:blipFill>
      <xdr:spPr>
        <a:xfrm>
          <a:off x="871855" y="44118530"/>
          <a:ext cx="619125" cy="843280"/>
        </a:xfrm>
        <a:prstGeom prst="rect">
          <a:avLst/>
        </a:prstGeom>
      </xdr:spPr>
    </xdr:pic>
    <xdr:clientData/>
  </xdr:oneCellAnchor>
  <xdr:oneCellAnchor>
    <xdr:from>
      <xdr:col>1</xdr:col>
      <xdr:colOff>66039</xdr:colOff>
      <xdr:row>89</xdr:row>
      <xdr:rowOff>121285</xdr:rowOff>
    </xdr:from>
    <xdr:ext cx="646430" cy="840105"/>
    <xdr:pic>
      <xdr:nvPicPr>
        <xdr:cNvPr id="39" name="image3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25" y="52421155"/>
          <a:ext cx="646430" cy="840105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84</xdr:row>
      <xdr:rowOff>60960</xdr:rowOff>
    </xdr:from>
    <xdr:ext cx="568959" cy="899160"/>
    <xdr:pic>
      <xdr:nvPicPr>
        <xdr:cNvPr id="40" name="image3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" y="50265330"/>
          <a:ext cx="568325" cy="899160"/>
        </a:xfrm>
        <a:prstGeom prst="rect">
          <a:avLst/>
        </a:prstGeom>
      </xdr:spPr>
    </xdr:pic>
    <xdr:clientData/>
  </xdr:oneCellAnchor>
  <xdr:oneCellAnchor>
    <xdr:from>
      <xdr:col>1</xdr:col>
      <xdr:colOff>147954</xdr:colOff>
      <xdr:row>86</xdr:row>
      <xdr:rowOff>196214</xdr:rowOff>
    </xdr:from>
    <xdr:ext cx="483234" cy="1033780"/>
    <xdr:pic>
      <xdr:nvPicPr>
        <xdr:cNvPr id="41" name="image4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" y="51238150"/>
          <a:ext cx="483235" cy="1033780"/>
        </a:xfrm>
        <a:prstGeom prst="rect">
          <a:avLst/>
        </a:prstGeom>
      </xdr:spPr>
    </xdr:pic>
    <xdr:clientData/>
  </xdr:oneCellAnchor>
  <xdr:oneCellAnchor>
    <xdr:from>
      <xdr:col>1</xdr:col>
      <xdr:colOff>183514</xdr:colOff>
      <xdr:row>79</xdr:row>
      <xdr:rowOff>151129</xdr:rowOff>
    </xdr:from>
    <xdr:ext cx="518794" cy="890269"/>
    <xdr:pic>
      <xdr:nvPicPr>
        <xdr:cNvPr id="43" name="image4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46628685"/>
          <a:ext cx="518795" cy="890270"/>
        </a:xfrm>
        <a:prstGeom prst="rect">
          <a:avLst/>
        </a:prstGeom>
      </xdr:spPr>
    </xdr:pic>
    <xdr:clientData/>
  </xdr:oneCellAnchor>
  <xdr:oneCellAnchor>
    <xdr:from>
      <xdr:col>1</xdr:col>
      <xdr:colOff>139700</xdr:colOff>
      <xdr:row>82</xdr:row>
      <xdr:rowOff>114300</xdr:rowOff>
    </xdr:from>
    <xdr:ext cx="498475" cy="814069"/>
    <xdr:pic>
      <xdr:nvPicPr>
        <xdr:cNvPr id="44" name="image4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" y="49023270"/>
          <a:ext cx="498475" cy="813435"/>
        </a:xfrm>
        <a:prstGeom prst="rect">
          <a:avLst/>
        </a:prstGeom>
      </xdr:spPr>
    </xdr:pic>
    <xdr:clientData/>
  </xdr:oneCellAnchor>
  <xdr:oneCellAnchor>
    <xdr:from>
      <xdr:col>1</xdr:col>
      <xdr:colOff>144145</xdr:colOff>
      <xdr:row>80</xdr:row>
      <xdr:rowOff>163195</xdr:rowOff>
    </xdr:from>
    <xdr:ext cx="490855" cy="797559"/>
    <xdr:pic>
      <xdr:nvPicPr>
        <xdr:cNvPr id="45" name="image4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865" y="47776765"/>
          <a:ext cx="490855" cy="796925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102</xdr:row>
      <xdr:rowOff>130810</xdr:rowOff>
    </xdr:from>
    <xdr:ext cx="434340" cy="1111250"/>
    <xdr:pic>
      <xdr:nvPicPr>
        <xdr:cNvPr id="46" name="image4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" y="60825380"/>
          <a:ext cx="434340" cy="1111250"/>
        </a:xfrm>
        <a:prstGeom prst="rect">
          <a:avLst/>
        </a:prstGeom>
      </xdr:spPr>
    </xdr:pic>
    <xdr:clientData/>
  </xdr:oneCellAnchor>
  <xdr:oneCellAnchor>
    <xdr:from>
      <xdr:col>1</xdr:col>
      <xdr:colOff>48894</xdr:colOff>
      <xdr:row>99</xdr:row>
      <xdr:rowOff>161925</xdr:rowOff>
    </xdr:from>
    <xdr:ext cx="680084" cy="698500"/>
    <xdr:pic>
      <xdr:nvPicPr>
        <xdr:cNvPr id="47" name="image4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80" y="57986295"/>
          <a:ext cx="680085" cy="698500"/>
        </a:xfrm>
        <a:prstGeom prst="rect">
          <a:avLst/>
        </a:prstGeom>
      </xdr:spPr>
    </xdr:pic>
    <xdr:clientData/>
  </xdr:oneCellAnchor>
  <xdr:oneCellAnchor>
    <xdr:from>
      <xdr:col>1</xdr:col>
      <xdr:colOff>154304</xdr:colOff>
      <xdr:row>93</xdr:row>
      <xdr:rowOff>75564</xdr:rowOff>
    </xdr:from>
    <xdr:ext cx="469900" cy="954405"/>
    <xdr:pic>
      <xdr:nvPicPr>
        <xdr:cNvPr id="48" name="image4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390" y="54597300"/>
          <a:ext cx="469900" cy="954405"/>
        </a:xfrm>
        <a:prstGeom prst="rect">
          <a:avLst/>
        </a:prstGeom>
      </xdr:spPr>
    </xdr:pic>
    <xdr:clientData/>
  </xdr:oneCellAnchor>
  <xdr:oneCellAnchor>
    <xdr:from>
      <xdr:col>1</xdr:col>
      <xdr:colOff>135889</xdr:colOff>
      <xdr:row>95</xdr:row>
      <xdr:rowOff>128270</xdr:rowOff>
    </xdr:from>
    <xdr:ext cx="506094" cy="867410"/>
    <xdr:pic>
      <xdr:nvPicPr>
        <xdr:cNvPr id="49" name="image4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55971440"/>
          <a:ext cx="506095" cy="867410"/>
        </a:xfrm>
        <a:prstGeom prst="rect">
          <a:avLst/>
        </a:prstGeom>
      </xdr:spPr>
    </xdr:pic>
    <xdr:clientData/>
  </xdr:oneCellAnchor>
  <xdr:oneCellAnchor>
    <xdr:from>
      <xdr:col>1</xdr:col>
      <xdr:colOff>157479</xdr:colOff>
      <xdr:row>100</xdr:row>
      <xdr:rowOff>95250</xdr:rowOff>
    </xdr:from>
    <xdr:ext cx="463550" cy="890269"/>
    <xdr:pic>
      <xdr:nvPicPr>
        <xdr:cNvPr id="50" name="image4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565" y="59088020"/>
          <a:ext cx="463550" cy="889635"/>
        </a:xfrm>
        <a:prstGeom prst="rect">
          <a:avLst/>
        </a:prstGeom>
      </xdr:spPr>
    </xdr:pic>
    <xdr:clientData/>
  </xdr:oneCellAnchor>
  <xdr:oneCellAnchor>
    <xdr:from>
      <xdr:col>1</xdr:col>
      <xdr:colOff>182245</xdr:colOff>
      <xdr:row>103</xdr:row>
      <xdr:rowOff>39369</xdr:rowOff>
    </xdr:from>
    <xdr:ext cx="414655" cy="974089"/>
    <xdr:pic>
      <xdr:nvPicPr>
        <xdr:cNvPr id="51" name="image5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965" y="62130305"/>
          <a:ext cx="414655" cy="974090"/>
        </a:xfrm>
        <a:prstGeom prst="rect">
          <a:avLst/>
        </a:prstGeom>
      </xdr:spPr>
    </xdr:pic>
    <xdr:clientData/>
  </xdr:oneCellAnchor>
  <xdr:oneCellAnchor>
    <xdr:from>
      <xdr:col>1</xdr:col>
      <xdr:colOff>169545</xdr:colOff>
      <xdr:row>97</xdr:row>
      <xdr:rowOff>85089</xdr:rowOff>
    </xdr:from>
    <xdr:ext cx="440690" cy="909955"/>
    <xdr:pic>
      <xdr:nvPicPr>
        <xdr:cNvPr id="52" name="image51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" y="56765825"/>
          <a:ext cx="440690" cy="909955"/>
        </a:xfrm>
        <a:prstGeom prst="rect">
          <a:avLst/>
        </a:prstGeom>
      </xdr:spPr>
    </xdr:pic>
    <xdr:clientData/>
  </xdr:oneCellAnchor>
  <xdr:oneCellAnchor>
    <xdr:from>
      <xdr:col>1</xdr:col>
      <xdr:colOff>132079</xdr:colOff>
      <xdr:row>104</xdr:row>
      <xdr:rowOff>43815</xdr:rowOff>
    </xdr:from>
    <xdr:ext cx="513715" cy="754380"/>
    <xdr:pic>
      <xdr:nvPicPr>
        <xdr:cNvPr id="53" name="image5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" y="63331725"/>
          <a:ext cx="513715" cy="754380"/>
        </a:xfrm>
        <a:prstGeom prst="rect">
          <a:avLst/>
        </a:prstGeom>
      </xdr:spPr>
    </xdr:pic>
    <xdr:clientData/>
  </xdr:oneCellAnchor>
  <xdr:oneCellAnchor>
    <xdr:from>
      <xdr:col>1</xdr:col>
      <xdr:colOff>179070</xdr:colOff>
      <xdr:row>91</xdr:row>
      <xdr:rowOff>119379</xdr:rowOff>
    </xdr:from>
    <xdr:ext cx="421005" cy="845819"/>
    <xdr:pic>
      <xdr:nvPicPr>
        <xdr:cNvPr id="54" name="image5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" y="53396515"/>
          <a:ext cx="421005" cy="845820"/>
        </a:xfrm>
        <a:prstGeom prst="rect">
          <a:avLst/>
        </a:prstGeom>
      </xdr:spPr>
    </xdr:pic>
    <xdr:clientData/>
  </xdr:oneCellAnchor>
  <xdr:oneCellAnchor>
    <xdr:from>
      <xdr:col>1</xdr:col>
      <xdr:colOff>80644</xdr:colOff>
      <xdr:row>114</xdr:row>
      <xdr:rowOff>72389</xdr:rowOff>
    </xdr:from>
    <xdr:ext cx="617219" cy="1034414"/>
    <xdr:pic>
      <xdr:nvPicPr>
        <xdr:cNvPr id="55" name="image5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" y="72587485"/>
          <a:ext cx="617220" cy="1034415"/>
        </a:xfrm>
        <a:prstGeom prst="rect">
          <a:avLst/>
        </a:prstGeom>
      </xdr:spPr>
    </xdr:pic>
    <xdr:clientData/>
  </xdr:oneCellAnchor>
  <xdr:oneCellAnchor>
    <xdr:from>
      <xdr:col>1</xdr:col>
      <xdr:colOff>25400</xdr:colOff>
      <xdr:row>116</xdr:row>
      <xdr:rowOff>73025</xdr:rowOff>
    </xdr:from>
    <xdr:ext cx="727075" cy="710565"/>
    <xdr:pic>
      <xdr:nvPicPr>
        <xdr:cNvPr id="56" name="image55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20" y="75370055"/>
          <a:ext cx="727075" cy="710565"/>
        </a:xfrm>
        <a:prstGeom prst="rect">
          <a:avLst/>
        </a:prstGeom>
      </xdr:spPr>
    </xdr:pic>
    <xdr:clientData/>
  </xdr:oneCellAnchor>
  <xdr:oneCellAnchor>
    <xdr:from>
      <xdr:col>1</xdr:col>
      <xdr:colOff>141604</xdr:colOff>
      <xdr:row>115</xdr:row>
      <xdr:rowOff>74930</xdr:rowOff>
    </xdr:from>
    <xdr:ext cx="495300" cy="1031875"/>
    <xdr:pic>
      <xdr:nvPicPr>
        <xdr:cNvPr id="57" name="image5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" y="74025760"/>
          <a:ext cx="495300" cy="1031875"/>
        </a:xfrm>
        <a:prstGeom prst="rect">
          <a:avLst/>
        </a:prstGeom>
      </xdr:spPr>
    </xdr:pic>
    <xdr:clientData/>
  </xdr:oneCellAnchor>
  <xdr:oneCellAnchor>
    <xdr:from>
      <xdr:col>1</xdr:col>
      <xdr:colOff>44450</xdr:colOff>
      <xdr:row>105</xdr:row>
      <xdr:rowOff>67310</xdr:rowOff>
    </xdr:from>
    <xdr:ext cx="688975" cy="704215"/>
    <xdr:pic>
      <xdr:nvPicPr>
        <xdr:cNvPr id="58" name="image57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170" y="64406780"/>
          <a:ext cx="688975" cy="704215"/>
        </a:xfrm>
        <a:prstGeom prst="rect">
          <a:avLst/>
        </a:prstGeom>
      </xdr:spPr>
    </xdr:pic>
    <xdr:clientData/>
  </xdr:oneCellAnchor>
  <xdr:oneCellAnchor>
    <xdr:from>
      <xdr:col>1</xdr:col>
      <xdr:colOff>150495</xdr:colOff>
      <xdr:row>106</xdr:row>
      <xdr:rowOff>48259</xdr:rowOff>
    </xdr:from>
    <xdr:ext cx="478790" cy="981710"/>
    <xdr:pic>
      <xdr:nvPicPr>
        <xdr:cNvPr id="59" name="image58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" y="65370075"/>
          <a:ext cx="478790" cy="981710"/>
        </a:xfrm>
        <a:prstGeom prst="rect">
          <a:avLst/>
        </a:prstGeom>
      </xdr:spPr>
    </xdr:pic>
    <xdr:clientData/>
  </xdr:oneCellAnchor>
  <xdr:oneCellAnchor>
    <xdr:from>
      <xdr:col>1</xdr:col>
      <xdr:colOff>158750</xdr:colOff>
      <xdr:row>113</xdr:row>
      <xdr:rowOff>38100</xdr:rowOff>
    </xdr:from>
    <xdr:ext cx="460375" cy="900430"/>
    <xdr:pic>
      <xdr:nvPicPr>
        <xdr:cNvPr id="60" name="image59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470" y="71372730"/>
          <a:ext cx="460375" cy="900430"/>
        </a:xfrm>
        <a:prstGeom prst="rect">
          <a:avLst/>
        </a:prstGeom>
      </xdr:spPr>
    </xdr:pic>
    <xdr:clientData/>
  </xdr:oneCellAnchor>
  <xdr:oneCellAnchor>
    <xdr:from>
      <xdr:col>1</xdr:col>
      <xdr:colOff>168275</xdr:colOff>
      <xdr:row>108</xdr:row>
      <xdr:rowOff>62864</xdr:rowOff>
    </xdr:from>
    <xdr:ext cx="441959" cy="924560"/>
    <xdr:pic>
      <xdr:nvPicPr>
        <xdr:cNvPr id="61" name="image60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995" y="67624960"/>
          <a:ext cx="441325" cy="924560"/>
        </a:xfrm>
        <a:prstGeom prst="rect">
          <a:avLst/>
        </a:prstGeom>
      </xdr:spPr>
    </xdr:pic>
    <xdr:clientData/>
  </xdr:oneCellAnchor>
  <xdr:oneCellAnchor>
    <xdr:from>
      <xdr:col>1</xdr:col>
      <xdr:colOff>170179</xdr:colOff>
      <xdr:row>109</xdr:row>
      <xdr:rowOff>76835</xdr:rowOff>
    </xdr:from>
    <xdr:ext cx="437515" cy="911860"/>
    <xdr:pic>
      <xdr:nvPicPr>
        <xdr:cNvPr id="62" name="image61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" y="68642865"/>
          <a:ext cx="437515" cy="911860"/>
        </a:xfrm>
        <a:prstGeom prst="rect">
          <a:avLst/>
        </a:prstGeom>
      </xdr:spPr>
    </xdr:pic>
    <xdr:clientData/>
  </xdr:oneCellAnchor>
  <xdr:oneCellAnchor>
    <xdr:from>
      <xdr:col>1</xdr:col>
      <xdr:colOff>175895</xdr:colOff>
      <xdr:row>111</xdr:row>
      <xdr:rowOff>119379</xdr:rowOff>
    </xdr:from>
    <xdr:ext cx="426719" cy="856614"/>
    <xdr:pic>
      <xdr:nvPicPr>
        <xdr:cNvPr id="63" name="image62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615" y="70094475"/>
          <a:ext cx="426085" cy="856615"/>
        </a:xfrm>
        <a:prstGeom prst="rect">
          <a:avLst/>
        </a:prstGeom>
      </xdr:spPr>
    </xdr:pic>
    <xdr:clientData/>
  </xdr:oneCellAnchor>
  <xdr:oneCellAnchor>
    <xdr:from>
      <xdr:col>1</xdr:col>
      <xdr:colOff>30479</xdr:colOff>
      <xdr:row>121</xdr:row>
      <xdr:rowOff>155575</xdr:rowOff>
    </xdr:from>
    <xdr:ext cx="686434" cy="1262380"/>
    <xdr:pic>
      <xdr:nvPicPr>
        <xdr:cNvPr id="64" name="image63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565" y="81335245"/>
          <a:ext cx="686435" cy="1262380"/>
        </a:xfrm>
        <a:prstGeom prst="rect">
          <a:avLst/>
        </a:prstGeom>
      </xdr:spPr>
    </xdr:pic>
    <xdr:clientData/>
  </xdr:oneCellAnchor>
  <xdr:oneCellAnchor>
    <xdr:from>
      <xdr:col>1</xdr:col>
      <xdr:colOff>222885</xdr:colOff>
      <xdr:row>120</xdr:row>
      <xdr:rowOff>73660</xdr:rowOff>
    </xdr:from>
    <xdr:ext cx="607059" cy="1099185"/>
    <xdr:pic>
      <xdr:nvPicPr>
        <xdr:cNvPr id="65" name="image64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5" y="79945230"/>
          <a:ext cx="606425" cy="1099185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117</xdr:row>
      <xdr:rowOff>76200</xdr:rowOff>
    </xdr:from>
    <xdr:ext cx="634365" cy="952500"/>
    <xdr:pic>
      <xdr:nvPicPr>
        <xdr:cNvPr id="66" name="image65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335" y="76379070"/>
          <a:ext cx="634365" cy="952500"/>
        </a:xfrm>
        <a:prstGeom prst="rect">
          <a:avLst/>
        </a:prstGeom>
      </xdr:spPr>
    </xdr:pic>
    <xdr:clientData/>
  </xdr:oneCellAnchor>
  <xdr:oneCellAnchor>
    <xdr:from>
      <xdr:col>1</xdr:col>
      <xdr:colOff>113029</xdr:colOff>
      <xdr:row>122</xdr:row>
      <xdr:rowOff>102870</xdr:rowOff>
    </xdr:from>
    <xdr:ext cx="551815" cy="1001394"/>
    <xdr:pic>
      <xdr:nvPicPr>
        <xdr:cNvPr id="67" name="image66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" y="82981800"/>
          <a:ext cx="551815" cy="1000760"/>
        </a:xfrm>
        <a:prstGeom prst="rect">
          <a:avLst/>
        </a:prstGeom>
      </xdr:spPr>
    </xdr:pic>
    <xdr:clientData/>
  </xdr:oneCellAnchor>
  <xdr:oneCellAnchor>
    <xdr:from>
      <xdr:col>1</xdr:col>
      <xdr:colOff>125095</xdr:colOff>
      <xdr:row>123</xdr:row>
      <xdr:rowOff>158115</xdr:rowOff>
    </xdr:from>
    <xdr:ext cx="542925" cy="1004569"/>
    <xdr:pic>
      <xdr:nvPicPr>
        <xdr:cNvPr id="68" name="image6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15" y="84340065"/>
          <a:ext cx="542925" cy="1003935"/>
        </a:xfrm>
        <a:prstGeom prst="rect">
          <a:avLst/>
        </a:prstGeom>
      </xdr:spPr>
    </xdr:pic>
    <xdr:clientData/>
  </xdr:oneCellAnchor>
  <xdr:oneCellAnchor>
    <xdr:from>
      <xdr:col>1</xdr:col>
      <xdr:colOff>52069</xdr:colOff>
      <xdr:row>119</xdr:row>
      <xdr:rowOff>208280</xdr:rowOff>
    </xdr:from>
    <xdr:ext cx="675640" cy="666115"/>
    <xdr:pic>
      <xdr:nvPicPr>
        <xdr:cNvPr id="69" name="image68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" y="79013050"/>
          <a:ext cx="675640" cy="666115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118</xdr:row>
      <xdr:rowOff>112395</xdr:rowOff>
    </xdr:from>
    <xdr:ext cx="624840" cy="614680"/>
    <xdr:pic>
      <xdr:nvPicPr>
        <xdr:cNvPr id="70" name="image69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77736065"/>
          <a:ext cx="624840" cy="614680"/>
        </a:xfrm>
        <a:prstGeom prst="rect">
          <a:avLst/>
        </a:prstGeom>
      </xdr:spPr>
    </xdr:pic>
    <xdr:clientData/>
  </xdr:oneCellAnchor>
  <xdr:oneCellAnchor>
    <xdr:from>
      <xdr:col>1</xdr:col>
      <xdr:colOff>474980</xdr:colOff>
      <xdr:row>121</xdr:row>
      <xdr:rowOff>391159</xdr:rowOff>
    </xdr:from>
    <xdr:ext cx="394970" cy="715009"/>
    <xdr:pic>
      <xdr:nvPicPr>
        <xdr:cNvPr id="71" name="image70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" y="81570195"/>
          <a:ext cx="394970" cy="715010"/>
        </a:xfrm>
        <a:prstGeom prst="rect">
          <a:avLst/>
        </a:prstGeom>
      </xdr:spPr>
    </xdr:pic>
    <xdr:clientData/>
  </xdr:oneCellAnchor>
  <xdr:oneCellAnchor>
    <xdr:from>
      <xdr:col>0</xdr:col>
      <xdr:colOff>61595</xdr:colOff>
      <xdr:row>124</xdr:row>
      <xdr:rowOff>353695</xdr:rowOff>
    </xdr:from>
    <xdr:ext cx="1007100" cy="570230"/>
    <xdr:pic>
      <xdr:nvPicPr>
        <xdr:cNvPr id="72" name="image71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" y="85777705"/>
          <a:ext cx="1006475" cy="570230"/>
        </a:xfrm>
        <a:prstGeom prst="rect">
          <a:avLst/>
        </a:prstGeom>
      </xdr:spPr>
    </xdr:pic>
    <xdr:clientData/>
  </xdr:oneCellAnchor>
  <xdr:oneCellAnchor>
    <xdr:from>
      <xdr:col>1</xdr:col>
      <xdr:colOff>22859</xdr:colOff>
      <xdr:row>131</xdr:row>
      <xdr:rowOff>13334</xdr:rowOff>
    </xdr:from>
    <xdr:ext cx="747394" cy="561975"/>
    <xdr:pic>
      <xdr:nvPicPr>
        <xdr:cNvPr id="73" name="image72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945" y="88886665"/>
          <a:ext cx="747395" cy="561975"/>
        </a:xfrm>
        <a:prstGeom prst="rect">
          <a:avLst/>
        </a:prstGeom>
      </xdr:spPr>
    </xdr:pic>
    <xdr:clientData/>
  </xdr:oneCellAnchor>
  <xdr:oneCellAnchor>
    <xdr:from>
      <xdr:col>1</xdr:col>
      <xdr:colOff>38734</xdr:colOff>
      <xdr:row>141</xdr:row>
      <xdr:rowOff>59689</xdr:rowOff>
    </xdr:from>
    <xdr:ext cx="715009" cy="504190"/>
    <xdr:pic>
      <xdr:nvPicPr>
        <xdr:cNvPr id="74" name="image7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93949520"/>
          <a:ext cx="715010" cy="50419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142</xdr:row>
      <xdr:rowOff>117475</xdr:rowOff>
    </xdr:from>
    <xdr:ext cx="716915" cy="509269"/>
    <xdr:pic>
      <xdr:nvPicPr>
        <xdr:cNvPr id="75" name="image74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94769940"/>
          <a:ext cx="716915" cy="508635"/>
        </a:xfrm>
        <a:prstGeom prst="rect">
          <a:avLst/>
        </a:prstGeom>
      </xdr:spPr>
    </xdr:pic>
    <xdr:clientData/>
  </xdr:oneCellAnchor>
  <xdr:oneCellAnchor>
    <xdr:from>
      <xdr:col>1</xdr:col>
      <xdr:colOff>77469</xdr:colOff>
      <xdr:row>128</xdr:row>
      <xdr:rowOff>175260</xdr:rowOff>
    </xdr:from>
    <xdr:ext cx="638809" cy="490855"/>
    <xdr:pic>
      <xdr:nvPicPr>
        <xdr:cNvPr id="76" name="image75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55" y="87085170"/>
          <a:ext cx="638810" cy="490855"/>
        </a:xfrm>
        <a:prstGeom prst="rect">
          <a:avLst/>
        </a:prstGeom>
      </xdr:spPr>
    </xdr:pic>
    <xdr:clientData/>
  </xdr:oneCellAnchor>
  <xdr:oneCellAnchor>
    <xdr:from>
      <xdr:col>1</xdr:col>
      <xdr:colOff>34925</xdr:colOff>
      <xdr:row>138</xdr:row>
      <xdr:rowOff>232409</xdr:rowOff>
    </xdr:from>
    <xdr:ext cx="723900" cy="342900"/>
    <xdr:pic>
      <xdr:nvPicPr>
        <xdr:cNvPr id="77" name="image76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" y="92426790"/>
          <a:ext cx="723900" cy="342900"/>
        </a:xfrm>
        <a:prstGeom prst="rect">
          <a:avLst/>
        </a:prstGeom>
      </xdr:spPr>
    </xdr:pic>
    <xdr:clientData/>
  </xdr:oneCellAnchor>
  <xdr:oneCellAnchor>
    <xdr:from>
      <xdr:col>1</xdr:col>
      <xdr:colOff>7619</xdr:colOff>
      <xdr:row>139</xdr:row>
      <xdr:rowOff>167640</xdr:rowOff>
    </xdr:from>
    <xdr:ext cx="952501" cy="386603"/>
    <xdr:pic>
      <xdr:nvPicPr>
        <xdr:cNvPr id="78" name="image77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4" t="30303" r="8619"/>
        <a:stretch>
          <a:fillRect/>
        </a:stretch>
      </xdr:blipFill>
      <xdr:spPr>
        <a:xfrm>
          <a:off x="814705" y="93315155"/>
          <a:ext cx="953135" cy="386080"/>
        </a:xfrm>
        <a:prstGeom prst="rect">
          <a:avLst/>
        </a:prstGeom>
      </xdr:spPr>
    </xdr:pic>
    <xdr:clientData/>
  </xdr:oneCellAnchor>
  <xdr:oneCellAnchor>
    <xdr:from>
      <xdr:col>1</xdr:col>
      <xdr:colOff>53339</xdr:colOff>
      <xdr:row>137</xdr:row>
      <xdr:rowOff>253365</xdr:rowOff>
    </xdr:from>
    <xdr:ext cx="685800" cy="317500"/>
    <xdr:pic>
      <xdr:nvPicPr>
        <xdr:cNvPr id="79" name="image78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5" y="91356180"/>
          <a:ext cx="685800" cy="317500"/>
        </a:xfrm>
        <a:prstGeom prst="rect">
          <a:avLst/>
        </a:prstGeom>
      </xdr:spPr>
    </xdr:pic>
    <xdr:clientData/>
  </xdr:oneCellAnchor>
  <xdr:oneCellAnchor>
    <xdr:from>
      <xdr:col>1</xdr:col>
      <xdr:colOff>15875</xdr:colOff>
      <xdr:row>135</xdr:row>
      <xdr:rowOff>12700</xdr:rowOff>
    </xdr:from>
    <xdr:ext cx="762000" cy="250825"/>
    <xdr:pic>
      <xdr:nvPicPr>
        <xdr:cNvPr id="80" name="image79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595" y="90372565"/>
          <a:ext cx="762000" cy="250825"/>
        </a:xfrm>
        <a:prstGeom prst="rect">
          <a:avLst/>
        </a:prstGeom>
      </xdr:spPr>
    </xdr:pic>
    <xdr:clientData/>
  </xdr:oneCellAnchor>
  <xdr:oneCellAnchor>
    <xdr:from>
      <xdr:col>1</xdr:col>
      <xdr:colOff>74930</xdr:colOff>
      <xdr:row>129</xdr:row>
      <xdr:rowOff>304165</xdr:rowOff>
    </xdr:from>
    <xdr:ext cx="681355" cy="245109"/>
    <xdr:pic>
      <xdr:nvPicPr>
        <xdr:cNvPr id="81" name="image80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88044655"/>
          <a:ext cx="681355" cy="244475"/>
        </a:xfrm>
        <a:prstGeom prst="rect">
          <a:avLst/>
        </a:prstGeom>
      </xdr:spPr>
    </xdr:pic>
    <xdr:clientData/>
  </xdr:oneCellAnchor>
  <xdr:oneCellAnchor>
    <xdr:from>
      <xdr:col>1</xdr:col>
      <xdr:colOff>91440</xdr:colOff>
      <xdr:row>78</xdr:row>
      <xdr:rowOff>205740</xdr:rowOff>
    </xdr:from>
    <xdr:ext cx="619125" cy="758190"/>
    <xdr:pic>
      <xdr:nvPicPr>
        <xdr:cNvPr id="2" name="image3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396"/>
        <a:stretch>
          <a:fillRect/>
        </a:stretch>
      </xdr:blipFill>
      <xdr:spPr>
        <a:xfrm>
          <a:off x="899160" y="45579030"/>
          <a:ext cx="619125" cy="758190"/>
        </a:xfrm>
        <a:prstGeom prst="rect">
          <a:avLst/>
        </a:prstGeom>
      </xdr:spPr>
    </xdr:pic>
    <xdr:clientData/>
  </xdr:oneCellAnchor>
  <xdr:oneCellAnchor>
    <xdr:from>
      <xdr:col>1</xdr:col>
      <xdr:colOff>129540</xdr:colOff>
      <xdr:row>107</xdr:row>
      <xdr:rowOff>60960</xdr:rowOff>
    </xdr:from>
    <xdr:ext cx="478790" cy="981710"/>
    <xdr:pic>
      <xdr:nvPicPr>
        <xdr:cNvPr id="5" name="image58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66541650"/>
          <a:ext cx="478790" cy="981710"/>
        </a:xfrm>
        <a:prstGeom prst="rect">
          <a:avLst/>
        </a:prstGeom>
      </xdr:spPr>
    </xdr:pic>
    <xdr:clientData/>
  </xdr:oneCellAnchor>
  <xdr:oneCellAnchor>
    <xdr:from>
      <xdr:col>1</xdr:col>
      <xdr:colOff>45720</xdr:colOff>
      <xdr:row>13</xdr:row>
      <xdr:rowOff>13970</xdr:rowOff>
    </xdr:from>
    <xdr:ext cx="965200" cy="948055"/>
    <xdr:pic>
      <xdr:nvPicPr>
        <xdr:cNvPr id="6" name="image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7127875"/>
          <a:ext cx="965200" cy="948055"/>
        </a:xfrm>
        <a:prstGeom prst="rect">
          <a:avLst/>
        </a:prstGeom>
      </xdr:spPr>
    </xdr:pic>
    <xdr:clientData/>
  </xdr:oneCellAnchor>
  <xdr:oneCellAnchor>
    <xdr:from>
      <xdr:col>1</xdr:col>
      <xdr:colOff>177165</xdr:colOff>
      <xdr:row>20</xdr:row>
      <xdr:rowOff>183515</xdr:rowOff>
    </xdr:from>
    <xdr:ext cx="661035" cy="649605"/>
    <xdr:pic>
      <xdr:nvPicPr>
        <xdr:cNvPr id="42" name="image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" y="11082020"/>
          <a:ext cx="661035" cy="6496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3"/>
  <sheetViews>
    <sheetView tabSelected="1" workbookViewId="0">
      <pane ySplit="1" topLeftCell="A2" activePane="bottomLeft" state="frozen"/>
      <selection/>
      <selection pane="bottomLeft" activeCell="B2" sqref="B2:B6"/>
    </sheetView>
  </sheetViews>
  <sheetFormatPr defaultColWidth="9" defaultRowHeight="14.25"/>
  <cols>
    <col min="1" max="1" width="10.6" customWidth="1"/>
    <col min="2" max="2" width="13.3" customWidth="1"/>
    <col min="3" max="3" width="13.125" customWidth="1"/>
    <col min="4" max="4" width="13.25" customWidth="1"/>
    <col min="5" max="5" width="11.875" customWidth="1"/>
    <col min="6" max="6" width="16.625" customWidth="1"/>
    <col min="7" max="7" width="18" customWidth="1"/>
    <col min="8" max="8" width="15.5" customWidth="1"/>
    <col min="9" max="9" width="7.625" customWidth="1"/>
    <col min="10" max="10" width="16.375" customWidth="1"/>
    <col min="11" max="11" width="11" customWidth="1"/>
    <col min="13" max="13" width="23.625" customWidth="1"/>
  </cols>
  <sheetData>
    <row r="1" ht="47" customHeight="1" spans="1:1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1" t="s">
        <v>9</v>
      </c>
      <c r="K1" s="5" t="s">
        <v>10</v>
      </c>
      <c r="L1" s="6" t="s">
        <v>11</v>
      </c>
      <c r="M1" s="6" t="s">
        <v>12</v>
      </c>
    </row>
    <row r="2" ht="96" customHeight="1" spans="1:13">
      <c r="A2" s="7" t="s">
        <v>13</v>
      </c>
      <c r="B2" s="8"/>
      <c r="C2" s="9" t="s">
        <v>14</v>
      </c>
      <c r="D2" s="10" t="s">
        <v>15</v>
      </c>
      <c r="E2" s="11" t="s">
        <v>16</v>
      </c>
      <c r="F2" s="9" t="s">
        <v>17</v>
      </c>
      <c r="G2" s="12" t="s">
        <v>18</v>
      </c>
      <c r="H2" s="13" t="s">
        <v>19</v>
      </c>
      <c r="I2" s="10">
        <v>720</v>
      </c>
      <c r="J2" s="14">
        <v>66</v>
      </c>
      <c r="K2" s="15">
        <v>0.008</v>
      </c>
      <c r="L2" s="16">
        <v>9.5</v>
      </c>
      <c r="M2" s="17" t="s">
        <v>20</v>
      </c>
    </row>
    <row r="3" ht="33" customHeight="1" spans="1:13">
      <c r="A3" s="18" t="s">
        <v>13</v>
      </c>
      <c r="B3" s="8"/>
      <c r="C3" s="9" t="s">
        <v>14</v>
      </c>
      <c r="D3" s="10" t="s">
        <v>21</v>
      </c>
      <c r="E3" s="11" t="s">
        <v>16</v>
      </c>
      <c r="F3" s="9" t="s">
        <v>17</v>
      </c>
      <c r="G3" s="12" t="s">
        <v>18</v>
      </c>
      <c r="H3" s="13" t="s">
        <v>19</v>
      </c>
      <c r="I3" s="10">
        <v>720</v>
      </c>
      <c r="J3" s="14">
        <v>70</v>
      </c>
      <c r="K3" s="15">
        <v>0.009</v>
      </c>
      <c r="L3" s="16">
        <v>11.1</v>
      </c>
      <c r="M3" s="17" t="s">
        <v>20</v>
      </c>
    </row>
    <row r="4" ht="33" customHeight="1" spans="1:13">
      <c r="A4" s="18" t="s">
        <v>13</v>
      </c>
      <c r="B4" s="8"/>
      <c r="C4" s="9" t="s">
        <v>14</v>
      </c>
      <c r="D4" s="10" t="s">
        <v>22</v>
      </c>
      <c r="E4" s="11" t="s">
        <v>16</v>
      </c>
      <c r="F4" s="9" t="s">
        <v>17</v>
      </c>
      <c r="G4" s="12" t="s">
        <v>18</v>
      </c>
      <c r="H4" s="13" t="s">
        <v>23</v>
      </c>
      <c r="I4" s="10">
        <v>720</v>
      </c>
      <c r="J4" s="19">
        <v>96</v>
      </c>
      <c r="K4" s="15">
        <v>0.009</v>
      </c>
      <c r="L4" s="16">
        <v>11.35</v>
      </c>
      <c r="M4" s="17" t="s">
        <v>24</v>
      </c>
    </row>
    <row r="5" ht="33" customHeight="1" spans="1:13">
      <c r="A5" s="18" t="s">
        <v>13</v>
      </c>
      <c r="B5" s="8"/>
      <c r="C5" s="9" t="s">
        <v>14</v>
      </c>
      <c r="D5" s="10" t="s">
        <v>25</v>
      </c>
      <c r="E5" s="11" t="s">
        <v>16</v>
      </c>
      <c r="F5" s="9" t="s">
        <v>17</v>
      </c>
      <c r="G5" s="12" t="s">
        <v>18</v>
      </c>
      <c r="H5" s="13" t="s">
        <v>23</v>
      </c>
      <c r="I5" s="10">
        <v>720</v>
      </c>
      <c r="J5" s="19">
        <v>112</v>
      </c>
      <c r="K5" s="15">
        <v>0.01</v>
      </c>
      <c r="L5" s="16">
        <v>17.2</v>
      </c>
      <c r="M5" s="17" t="s">
        <v>26</v>
      </c>
    </row>
    <row r="6" ht="33" customHeight="1" spans="1:13">
      <c r="A6" s="20" t="s">
        <v>13</v>
      </c>
      <c r="B6" s="8"/>
      <c r="C6" s="9" t="s">
        <v>14</v>
      </c>
      <c r="D6" s="10" t="s">
        <v>27</v>
      </c>
      <c r="E6" s="11" t="s">
        <v>16</v>
      </c>
      <c r="F6" s="9" t="s">
        <v>17</v>
      </c>
      <c r="G6" s="12" t="s">
        <v>18</v>
      </c>
      <c r="H6" s="13" t="s">
        <v>23</v>
      </c>
      <c r="I6" s="10">
        <v>720</v>
      </c>
      <c r="J6" s="19">
        <v>135</v>
      </c>
      <c r="K6" s="15">
        <v>0.01</v>
      </c>
      <c r="L6" s="16">
        <v>20.2</v>
      </c>
      <c r="M6" s="17" t="s">
        <v>26</v>
      </c>
    </row>
    <row r="7" ht="87" customHeight="1" spans="1:13">
      <c r="A7" s="7" t="s">
        <v>28</v>
      </c>
      <c r="B7" s="21"/>
      <c r="C7" s="22" t="s">
        <v>29</v>
      </c>
      <c r="D7" s="10" t="s">
        <v>30</v>
      </c>
      <c r="E7" s="11" t="s">
        <v>16</v>
      </c>
      <c r="F7" s="9" t="s">
        <v>17</v>
      </c>
      <c r="G7" s="12" t="s">
        <v>31</v>
      </c>
      <c r="H7" s="13" t="s">
        <v>19</v>
      </c>
      <c r="I7" s="10">
        <v>720</v>
      </c>
      <c r="J7" s="14">
        <v>50</v>
      </c>
      <c r="K7" s="15">
        <v>0.016</v>
      </c>
      <c r="L7" s="16">
        <v>6.1</v>
      </c>
      <c r="M7" s="17" t="s">
        <v>24</v>
      </c>
    </row>
    <row r="8" ht="33" customHeight="1" spans="1:13">
      <c r="A8" s="7" t="s">
        <v>28</v>
      </c>
      <c r="B8" s="21"/>
      <c r="C8" s="22" t="s">
        <v>29</v>
      </c>
      <c r="D8" s="10" t="s">
        <v>32</v>
      </c>
      <c r="E8" s="11" t="s">
        <v>16</v>
      </c>
      <c r="F8" s="9" t="s">
        <v>17</v>
      </c>
      <c r="G8" s="12" t="s">
        <v>31</v>
      </c>
      <c r="H8" s="13" t="s">
        <v>19</v>
      </c>
      <c r="I8" s="10">
        <v>720</v>
      </c>
      <c r="J8" s="14">
        <v>60</v>
      </c>
      <c r="K8" s="15">
        <v>0.016</v>
      </c>
      <c r="L8" s="16">
        <v>7.6</v>
      </c>
      <c r="M8" s="17" t="s">
        <v>20</v>
      </c>
    </row>
    <row r="9" ht="33" customHeight="1" spans="1:13">
      <c r="A9" s="7" t="s">
        <v>28</v>
      </c>
      <c r="B9" s="21"/>
      <c r="C9" s="22" t="s">
        <v>29</v>
      </c>
      <c r="D9" s="10" t="s">
        <v>33</v>
      </c>
      <c r="E9" s="11" t="s">
        <v>16</v>
      </c>
      <c r="F9" s="9" t="s">
        <v>17</v>
      </c>
      <c r="G9" s="12" t="s">
        <v>31</v>
      </c>
      <c r="H9" s="13" t="s">
        <v>19</v>
      </c>
      <c r="I9" s="10">
        <v>720</v>
      </c>
      <c r="J9" s="14">
        <v>68</v>
      </c>
      <c r="K9" s="15">
        <v>0.016</v>
      </c>
      <c r="L9" s="16">
        <v>8.25</v>
      </c>
      <c r="M9" s="17" t="s">
        <v>24</v>
      </c>
    </row>
    <row r="10" ht="33" customHeight="1" spans="1:13">
      <c r="A10" s="7" t="s">
        <v>28</v>
      </c>
      <c r="B10" s="21"/>
      <c r="C10" s="22" t="s">
        <v>29</v>
      </c>
      <c r="D10" s="10" t="s">
        <v>34</v>
      </c>
      <c r="E10" s="11" t="s">
        <v>16</v>
      </c>
      <c r="F10" s="9" t="s">
        <v>17</v>
      </c>
      <c r="G10" s="12" t="s">
        <v>31</v>
      </c>
      <c r="H10" s="13" t="s">
        <v>19</v>
      </c>
      <c r="I10" s="10">
        <v>720</v>
      </c>
      <c r="J10" s="14">
        <v>70</v>
      </c>
      <c r="K10" s="15">
        <v>0.016</v>
      </c>
      <c r="L10" s="16">
        <v>9.1</v>
      </c>
      <c r="M10" s="17" t="s">
        <v>20</v>
      </c>
    </row>
    <row r="11" ht="33" customHeight="1" spans="1:13">
      <c r="A11" s="7" t="s">
        <v>28</v>
      </c>
      <c r="B11" s="21"/>
      <c r="C11" s="22" t="s">
        <v>29</v>
      </c>
      <c r="D11" s="10" t="s">
        <v>35</v>
      </c>
      <c r="E11" s="11" t="s">
        <v>16</v>
      </c>
      <c r="F11" s="9" t="s">
        <v>17</v>
      </c>
      <c r="G11" s="12" t="s">
        <v>31</v>
      </c>
      <c r="H11" s="13" t="s">
        <v>23</v>
      </c>
      <c r="I11" s="10">
        <v>720</v>
      </c>
      <c r="J11" s="14">
        <v>96</v>
      </c>
      <c r="K11" s="15">
        <v>0.016</v>
      </c>
      <c r="L11" s="16">
        <v>10.4</v>
      </c>
      <c r="M11" s="17" t="s">
        <v>24</v>
      </c>
    </row>
    <row r="12" ht="33.15" customHeight="1" spans="1:13">
      <c r="A12" s="7" t="s">
        <v>28</v>
      </c>
      <c r="B12" s="21"/>
      <c r="C12" s="22" t="s">
        <v>29</v>
      </c>
      <c r="D12" s="10" t="s">
        <v>36</v>
      </c>
      <c r="E12" s="11" t="s">
        <v>16</v>
      </c>
      <c r="F12" s="9" t="s">
        <v>17</v>
      </c>
      <c r="G12" s="12" t="s">
        <v>31</v>
      </c>
      <c r="H12" s="13" t="s">
        <v>23</v>
      </c>
      <c r="I12" s="10">
        <v>720</v>
      </c>
      <c r="J12" s="14">
        <v>112</v>
      </c>
      <c r="K12" s="15">
        <v>0.016</v>
      </c>
      <c r="L12" s="16">
        <v>14.2</v>
      </c>
      <c r="M12" s="17" t="s">
        <v>26</v>
      </c>
    </row>
    <row r="13" ht="33" customHeight="1" spans="1:13">
      <c r="A13" s="7" t="s">
        <v>28</v>
      </c>
      <c r="C13" s="22" t="s">
        <v>29</v>
      </c>
      <c r="D13" s="10" t="s">
        <v>37</v>
      </c>
      <c r="E13" s="11" t="s">
        <v>16</v>
      </c>
      <c r="F13" s="9" t="s">
        <v>17</v>
      </c>
      <c r="G13" s="12" t="s">
        <v>31</v>
      </c>
      <c r="H13" s="13" t="s">
        <v>23</v>
      </c>
      <c r="I13" s="23">
        <v>720</v>
      </c>
      <c r="J13" s="14">
        <v>133</v>
      </c>
      <c r="K13" s="15">
        <v>0.016</v>
      </c>
      <c r="L13" s="16">
        <v>17.2</v>
      </c>
      <c r="M13" s="17" t="s">
        <v>26</v>
      </c>
    </row>
    <row r="14" ht="70" customHeight="1" spans="1:13">
      <c r="A14" s="24" t="s">
        <v>38</v>
      </c>
      <c r="B14" s="25"/>
      <c r="C14" s="22" t="s">
        <v>29</v>
      </c>
      <c r="D14" s="10" t="s">
        <v>39</v>
      </c>
      <c r="E14" s="11" t="s">
        <v>16</v>
      </c>
      <c r="F14" s="9" t="s">
        <v>17</v>
      </c>
      <c r="G14" s="12" t="s">
        <v>31</v>
      </c>
      <c r="H14" s="13" t="s">
        <v>23</v>
      </c>
      <c r="I14" s="23">
        <v>720</v>
      </c>
      <c r="J14" s="14">
        <v>210</v>
      </c>
      <c r="K14" s="15">
        <v>0.017</v>
      </c>
      <c r="L14" s="16">
        <v>18.7</v>
      </c>
      <c r="M14" s="17" t="s">
        <v>26</v>
      </c>
    </row>
    <row r="15" ht="33" customHeight="1" spans="1:13">
      <c r="A15" s="24" t="s">
        <v>38</v>
      </c>
      <c r="B15" s="25"/>
      <c r="C15" s="22" t="s">
        <v>29</v>
      </c>
      <c r="D15" s="10" t="s">
        <v>40</v>
      </c>
      <c r="E15" s="11" t="s">
        <v>16</v>
      </c>
      <c r="F15" s="9" t="s">
        <v>17</v>
      </c>
      <c r="G15" s="12" t="s">
        <v>31</v>
      </c>
      <c r="H15" s="13" t="s">
        <v>23</v>
      </c>
      <c r="I15" s="23">
        <v>720</v>
      </c>
      <c r="J15" s="14">
        <v>240</v>
      </c>
      <c r="K15" s="15">
        <v>0.018</v>
      </c>
      <c r="L15" s="16">
        <v>24</v>
      </c>
      <c r="M15" s="17" t="s">
        <v>26</v>
      </c>
    </row>
    <row r="16" ht="33" customHeight="1" spans="1:13">
      <c r="A16" s="24" t="s">
        <v>38</v>
      </c>
      <c r="B16" s="25"/>
      <c r="C16" s="22" t="s">
        <v>29</v>
      </c>
      <c r="D16" s="10" t="s">
        <v>41</v>
      </c>
      <c r="E16" s="11" t="s">
        <v>16</v>
      </c>
      <c r="F16" s="9" t="s">
        <v>17</v>
      </c>
      <c r="G16" s="12" t="s">
        <v>31</v>
      </c>
      <c r="H16" s="13" t="s">
        <v>23</v>
      </c>
      <c r="I16" s="23">
        <v>720</v>
      </c>
      <c r="J16" s="14">
        <v>270</v>
      </c>
      <c r="K16" s="15">
        <v>0.019</v>
      </c>
      <c r="L16" s="16">
        <v>27.2</v>
      </c>
      <c r="M16" s="17" t="s">
        <v>26</v>
      </c>
    </row>
    <row r="17" ht="57" customHeight="1" spans="1:13">
      <c r="A17" s="7" t="s">
        <v>42</v>
      </c>
      <c r="B17" s="8"/>
      <c r="C17" s="9" t="s">
        <v>14</v>
      </c>
      <c r="D17" s="10" t="s">
        <v>43</v>
      </c>
      <c r="E17" s="11" t="s">
        <v>16</v>
      </c>
      <c r="F17" s="9" t="s">
        <v>17</v>
      </c>
      <c r="G17" s="12" t="s">
        <v>18</v>
      </c>
      <c r="H17" s="13" t="s">
        <v>19</v>
      </c>
      <c r="I17" s="23">
        <v>720</v>
      </c>
      <c r="J17" s="14">
        <v>125</v>
      </c>
      <c r="K17" s="15">
        <v>0.028</v>
      </c>
      <c r="L17" s="16">
        <v>18.1</v>
      </c>
      <c r="M17" s="17" t="s">
        <v>26</v>
      </c>
    </row>
    <row r="18" ht="33" customHeight="1" spans="1:13">
      <c r="A18" s="18" t="s">
        <v>42</v>
      </c>
      <c r="B18" s="8"/>
      <c r="C18" s="9" t="s">
        <v>14</v>
      </c>
      <c r="D18" s="10" t="s">
        <v>44</v>
      </c>
      <c r="E18" s="11" t="s">
        <v>16</v>
      </c>
      <c r="F18" s="9" t="s">
        <v>17</v>
      </c>
      <c r="G18" s="12" t="s">
        <v>18</v>
      </c>
      <c r="H18" s="13" t="s">
        <v>23</v>
      </c>
      <c r="I18" s="23">
        <v>720</v>
      </c>
      <c r="J18" s="14">
        <v>165</v>
      </c>
      <c r="K18" s="15">
        <v>0.03</v>
      </c>
      <c r="L18" s="16">
        <v>22.4</v>
      </c>
      <c r="M18" s="17" t="s">
        <v>26</v>
      </c>
    </row>
    <row r="19" ht="36" customHeight="1" spans="1:13">
      <c r="A19" s="7" t="s">
        <v>45</v>
      </c>
      <c r="B19" s="26"/>
      <c r="C19" s="9" t="s">
        <v>14</v>
      </c>
      <c r="D19" s="10" t="s">
        <v>39</v>
      </c>
      <c r="E19" s="11" t="s">
        <v>16</v>
      </c>
      <c r="F19" s="9" t="s">
        <v>17</v>
      </c>
      <c r="G19" s="12" t="s">
        <v>31</v>
      </c>
      <c r="H19" s="13" t="s">
        <v>46</v>
      </c>
      <c r="I19" s="23">
        <v>720</v>
      </c>
      <c r="J19" s="14">
        <v>220</v>
      </c>
      <c r="K19" s="15">
        <v>0.017</v>
      </c>
      <c r="L19" s="16">
        <v>18.7</v>
      </c>
      <c r="M19" s="17" t="s">
        <v>26</v>
      </c>
    </row>
    <row r="20" ht="36" customHeight="1" spans="1:13">
      <c r="A20" s="20" t="s">
        <v>45</v>
      </c>
      <c r="B20" s="27"/>
      <c r="C20" s="9" t="s">
        <v>14</v>
      </c>
      <c r="D20" s="10" t="s">
        <v>41</v>
      </c>
      <c r="E20" s="11" t="s">
        <v>16</v>
      </c>
      <c r="F20" s="9" t="s">
        <v>17</v>
      </c>
      <c r="G20" s="12" t="s">
        <v>31</v>
      </c>
      <c r="H20" s="13" t="s">
        <v>47</v>
      </c>
      <c r="I20" s="23">
        <v>720</v>
      </c>
      <c r="J20" s="14">
        <v>290</v>
      </c>
      <c r="K20" s="15">
        <v>0.019</v>
      </c>
      <c r="L20" s="16">
        <v>27.2</v>
      </c>
      <c r="M20" s="17" t="s">
        <v>26</v>
      </c>
    </row>
    <row r="21" ht="36" customHeight="1" spans="1:13">
      <c r="A21" s="7" t="s">
        <v>48</v>
      </c>
      <c r="B21" s="26"/>
      <c r="C21" s="9" t="s">
        <v>49</v>
      </c>
      <c r="D21" s="10" t="s">
        <v>39</v>
      </c>
      <c r="E21" s="28" t="s">
        <v>50</v>
      </c>
      <c r="F21" s="9" t="s">
        <v>17</v>
      </c>
      <c r="G21" s="12" t="s">
        <v>31</v>
      </c>
      <c r="H21" s="13" t="s">
        <v>46</v>
      </c>
      <c r="I21" s="23">
        <v>720</v>
      </c>
      <c r="J21" s="14">
        <v>240</v>
      </c>
      <c r="K21" s="15">
        <v>0.017</v>
      </c>
      <c r="L21" s="16">
        <v>18.7</v>
      </c>
      <c r="M21" s="17" t="s">
        <v>26</v>
      </c>
    </row>
    <row r="22" ht="51" customHeight="1" spans="1:13">
      <c r="A22" s="20" t="s">
        <v>48</v>
      </c>
      <c r="B22" s="27"/>
      <c r="C22" s="9" t="s">
        <v>49</v>
      </c>
      <c r="D22" s="10" t="s">
        <v>41</v>
      </c>
      <c r="E22" s="28" t="s">
        <v>50</v>
      </c>
      <c r="F22" s="9" t="s">
        <v>17</v>
      </c>
      <c r="G22" s="12" t="s">
        <v>31</v>
      </c>
      <c r="H22" s="13" t="s">
        <v>47</v>
      </c>
      <c r="I22" s="23">
        <v>720</v>
      </c>
      <c r="J22" s="14">
        <v>310</v>
      </c>
      <c r="K22" s="15">
        <v>0.019</v>
      </c>
      <c r="L22" s="16">
        <v>27.2</v>
      </c>
      <c r="M22" s="17" t="s">
        <v>26</v>
      </c>
    </row>
    <row r="23" ht="33" customHeight="1" spans="1:13">
      <c r="A23" s="7" t="s">
        <v>51</v>
      </c>
      <c r="B23" s="8"/>
      <c r="C23" s="9" t="s">
        <v>49</v>
      </c>
      <c r="D23" s="10" t="s">
        <v>21</v>
      </c>
      <c r="E23" s="28" t="s">
        <v>50</v>
      </c>
      <c r="F23" s="9" t="s">
        <v>17</v>
      </c>
      <c r="G23" s="12" t="s">
        <v>18</v>
      </c>
      <c r="H23" s="13" t="s">
        <v>19</v>
      </c>
      <c r="I23" s="23">
        <v>720</v>
      </c>
      <c r="J23" s="14">
        <v>80</v>
      </c>
      <c r="K23" s="15">
        <v>0.009</v>
      </c>
      <c r="L23" s="16">
        <v>11.1</v>
      </c>
      <c r="M23" s="17" t="s">
        <v>24</v>
      </c>
    </row>
    <row r="24" ht="33" customHeight="1" spans="1:13">
      <c r="A24" s="18" t="s">
        <v>51</v>
      </c>
      <c r="B24" s="8"/>
      <c r="C24" s="9" t="s">
        <v>49</v>
      </c>
      <c r="D24" s="10" t="s">
        <v>22</v>
      </c>
      <c r="E24" s="28" t="s">
        <v>50</v>
      </c>
      <c r="F24" s="9" t="s">
        <v>17</v>
      </c>
      <c r="G24" s="12" t="s">
        <v>18</v>
      </c>
      <c r="H24" s="13" t="s">
        <v>19</v>
      </c>
      <c r="I24" s="23">
        <v>720</v>
      </c>
      <c r="J24" s="14">
        <v>95</v>
      </c>
      <c r="K24" s="15">
        <v>0.009</v>
      </c>
      <c r="L24" s="16">
        <v>11.35</v>
      </c>
      <c r="M24" s="17" t="s">
        <v>20</v>
      </c>
    </row>
    <row r="25" ht="33" customHeight="1" spans="1:13">
      <c r="A25" s="20" t="s">
        <v>51</v>
      </c>
      <c r="B25" s="8"/>
      <c r="C25" s="9" t="s">
        <v>49</v>
      </c>
      <c r="D25" s="10" t="s">
        <v>25</v>
      </c>
      <c r="E25" s="28" t="s">
        <v>50</v>
      </c>
      <c r="F25" s="9" t="s">
        <v>17</v>
      </c>
      <c r="G25" s="12" t="s">
        <v>18</v>
      </c>
      <c r="H25" s="13" t="s">
        <v>19</v>
      </c>
      <c r="I25" s="23">
        <v>720</v>
      </c>
      <c r="J25" s="14">
        <v>115</v>
      </c>
      <c r="K25" s="15">
        <v>0.01</v>
      </c>
      <c r="L25" s="16">
        <v>17.2</v>
      </c>
      <c r="M25" s="17" t="s">
        <v>26</v>
      </c>
    </row>
    <row r="26" ht="33" customHeight="1" spans="1:13">
      <c r="A26" s="7" t="s">
        <v>52</v>
      </c>
      <c r="B26" s="8"/>
      <c r="C26" s="9" t="s">
        <v>49</v>
      </c>
      <c r="D26" s="10" t="s">
        <v>34</v>
      </c>
      <c r="E26" s="28" t="s">
        <v>50</v>
      </c>
      <c r="F26" s="9" t="s">
        <v>17</v>
      </c>
      <c r="G26" s="12" t="s">
        <v>31</v>
      </c>
      <c r="H26" s="13" t="s">
        <v>19</v>
      </c>
      <c r="I26" s="23">
        <v>720</v>
      </c>
      <c r="J26" s="14">
        <v>80</v>
      </c>
      <c r="K26" s="15">
        <v>0.016</v>
      </c>
      <c r="L26" s="16">
        <v>9.1</v>
      </c>
      <c r="M26" s="17" t="s">
        <v>20</v>
      </c>
    </row>
    <row r="27" ht="33" customHeight="1" spans="1:13">
      <c r="A27" s="18" t="s">
        <v>52</v>
      </c>
      <c r="B27" s="8"/>
      <c r="C27" s="9" t="s">
        <v>49</v>
      </c>
      <c r="D27" s="10" t="s">
        <v>35</v>
      </c>
      <c r="E27" s="28" t="s">
        <v>50</v>
      </c>
      <c r="F27" s="9" t="s">
        <v>17</v>
      </c>
      <c r="G27" s="12" t="s">
        <v>31</v>
      </c>
      <c r="H27" s="13" t="s">
        <v>19</v>
      </c>
      <c r="I27" s="23">
        <v>720</v>
      </c>
      <c r="J27" s="14">
        <v>95</v>
      </c>
      <c r="K27" s="15">
        <v>0.016</v>
      </c>
      <c r="L27" s="16">
        <v>10.4</v>
      </c>
      <c r="M27" s="17" t="s">
        <v>24</v>
      </c>
    </row>
    <row r="28" ht="33" customHeight="1" spans="1:13">
      <c r="A28" s="20" t="s">
        <v>52</v>
      </c>
      <c r="B28" s="8"/>
      <c r="C28" s="9" t="s">
        <v>49</v>
      </c>
      <c r="D28" s="10" t="s">
        <v>36</v>
      </c>
      <c r="E28" s="28" t="s">
        <v>50</v>
      </c>
      <c r="F28" s="9" t="s">
        <v>17</v>
      </c>
      <c r="G28" s="12" t="s">
        <v>31</v>
      </c>
      <c r="H28" s="13" t="s">
        <v>19</v>
      </c>
      <c r="I28" s="23">
        <v>720</v>
      </c>
      <c r="J28" s="14">
        <v>115</v>
      </c>
      <c r="K28" s="15">
        <v>0.016</v>
      </c>
      <c r="L28" s="16">
        <v>14.2</v>
      </c>
      <c r="M28" s="17" t="s">
        <v>26</v>
      </c>
    </row>
    <row r="29" ht="71.4" customHeight="1" spans="1:13">
      <c r="A29" s="29" t="s">
        <v>53</v>
      </c>
      <c r="B29" s="8"/>
      <c r="C29" s="28" t="s">
        <v>49</v>
      </c>
      <c r="D29" s="10" t="s">
        <v>43</v>
      </c>
      <c r="E29" s="28" t="s">
        <v>50</v>
      </c>
      <c r="F29" s="9" t="s">
        <v>17</v>
      </c>
      <c r="G29" s="12" t="s">
        <v>18</v>
      </c>
      <c r="H29" s="13" t="s">
        <v>19</v>
      </c>
      <c r="I29" s="23">
        <v>720</v>
      </c>
      <c r="J29" s="14">
        <v>150</v>
      </c>
      <c r="K29" s="15">
        <v>0.028</v>
      </c>
      <c r="L29" s="16">
        <v>22.4</v>
      </c>
      <c r="M29" s="17" t="s">
        <v>26</v>
      </c>
    </row>
    <row r="30" ht="33" customHeight="1" spans="1:13">
      <c r="A30" s="7" t="s">
        <v>54</v>
      </c>
      <c r="B30" s="26"/>
      <c r="C30" s="30" t="s">
        <v>55</v>
      </c>
      <c r="D30" s="10" t="s">
        <v>21</v>
      </c>
      <c r="E30" s="28" t="s">
        <v>56</v>
      </c>
      <c r="F30" s="9" t="s">
        <v>17</v>
      </c>
      <c r="G30" s="12" t="s">
        <v>18</v>
      </c>
      <c r="H30" s="13" t="s">
        <v>19</v>
      </c>
      <c r="I30" s="23">
        <v>720</v>
      </c>
      <c r="J30" s="14">
        <v>95</v>
      </c>
      <c r="K30" s="15">
        <v>0.009</v>
      </c>
      <c r="L30" s="16">
        <v>11.1</v>
      </c>
      <c r="M30" s="17" t="s">
        <v>20</v>
      </c>
    </row>
    <row r="31" ht="33.15" customHeight="1" spans="1:13">
      <c r="A31" s="18" t="s">
        <v>54</v>
      </c>
      <c r="B31" s="31"/>
      <c r="C31" s="32" t="s">
        <v>55</v>
      </c>
      <c r="D31" s="10" t="s">
        <v>22</v>
      </c>
      <c r="E31" s="28" t="s">
        <v>56</v>
      </c>
      <c r="F31" s="9" t="s">
        <v>17</v>
      </c>
      <c r="G31" s="12" t="s">
        <v>18</v>
      </c>
      <c r="H31" s="13" t="s">
        <v>23</v>
      </c>
      <c r="I31" s="23">
        <v>720</v>
      </c>
      <c r="J31" s="14">
        <v>120</v>
      </c>
      <c r="K31" s="15">
        <v>0.009</v>
      </c>
      <c r="L31" s="16">
        <v>11.35</v>
      </c>
      <c r="M31" s="17" t="s">
        <v>24</v>
      </c>
    </row>
    <row r="32" ht="63" customHeight="1" spans="1:13">
      <c r="A32" s="20" t="s">
        <v>54</v>
      </c>
      <c r="B32" s="27"/>
      <c r="C32" s="33" t="s">
        <v>55</v>
      </c>
      <c r="D32" s="10" t="s">
        <v>25</v>
      </c>
      <c r="E32" s="28" t="s">
        <v>56</v>
      </c>
      <c r="F32" s="9" t="s">
        <v>17</v>
      </c>
      <c r="G32" s="12" t="s">
        <v>18</v>
      </c>
      <c r="H32" s="13" t="s">
        <v>23</v>
      </c>
      <c r="I32" s="23">
        <v>720</v>
      </c>
      <c r="J32" s="14">
        <v>140</v>
      </c>
      <c r="K32" s="15">
        <v>0.01</v>
      </c>
      <c r="L32" s="16">
        <v>17.2</v>
      </c>
      <c r="M32" s="17" t="s">
        <v>26</v>
      </c>
    </row>
    <row r="33" ht="33" customHeight="1" spans="1:13">
      <c r="A33" s="7" t="s">
        <v>57</v>
      </c>
      <c r="B33" s="8"/>
      <c r="C33" s="9" t="s">
        <v>55</v>
      </c>
      <c r="D33" s="10" t="s">
        <v>34</v>
      </c>
      <c r="E33" s="28" t="s">
        <v>56</v>
      </c>
      <c r="F33" s="9" t="s">
        <v>17</v>
      </c>
      <c r="G33" s="12" t="s">
        <v>31</v>
      </c>
      <c r="H33" s="13" t="s">
        <v>19</v>
      </c>
      <c r="I33" s="23">
        <v>720</v>
      </c>
      <c r="J33" s="14">
        <v>95</v>
      </c>
      <c r="K33" s="15">
        <v>0.016</v>
      </c>
      <c r="L33" s="16">
        <v>9.1</v>
      </c>
      <c r="M33" s="17" t="s">
        <v>24</v>
      </c>
    </row>
    <row r="34" ht="33" customHeight="1" spans="1:13">
      <c r="A34" s="18" t="s">
        <v>57</v>
      </c>
      <c r="B34" s="8"/>
      <c r="C34" s="9" t="s">
        <v>55</v>
      </c>
      <c r="D34" s="10" t="s">
        <v>35</v>
      </c>
      <c r="E34" s="28" t="s">
        <v>56</v>
      </c>
      <c r="F34" s="9" t="s">
        <v>17</v>
      </c>
      <c r="G34" s="12" t="s">
        <v>31</v>
      </c>
      <c r="H34" s="13" t="s">
        <v>23</v>
      </c>
      <c r="I34" s="23">
        <v>720</v>
      </c>
      <c r="J34" s="14">
        <v>120</v>
      </c>
      <c r="K34" s="15">
        <v>0.016</v>
      </c>
      <c r="L34" s="16">
        <v>10.4</v>
      </c>
      <c r="M34" s="17" t="s">
        <v>20</v>
      </c>
    </row>
    <row r="35" ht="33" customHeight="1" spans="1:13">
      <c r="A35" s="20" t="s">
        <v>57</v>
      </c>
      <c r="B35" s="8"/>
      <c r="C35" s="9" t="s">
        <v>55</v>
      </c>
      <c r="D35" s="10" t="s">
        <v>36</v>
      </c>
      <c r="E35" s="28" t="s">
        <v>56</v>
      </c>
      <c r="F35" s="9" t="s">
        <v>17</v>
      </c>
      <c r="G35" s="12" t="s">
        <v>31</v>
      </c>
      <c r="H35" s="13" t="s">
        <v>23</v>
      </c>
      <c r="I35" s="23">
        <v>720</v>
      </c>
      <c r="J35" s="14">
        <v>140</v>
      </c>
      <c r="K35" s="15">
        <v>0.016</v>
      </c>
      <c r="L35" s="16">
        <v>14.2</v>
      </c>
      <c r="M35" s="17" t="s">
        <v>26</v>
      </c>
    </row>
    <row r="36" ht="84.6" customHeight="1" spans="1:13">
      <c r="A36" s="29" t="s">
        <v>58</v>
      </c>
      <c r="B36" s="8"/>
      <c r="C36" s="28" t="s">
        <v>55</v>
      </c>
      <c r="D36" s="10" t="s">
        <v>43</v>
      </c>
      <c r="E36" s="28" t="s">
        <v>56</v>
      </c>
      <c r="F36" s="9" t="s">
        <v>17</v>
      </c>
      <c r="G36" s="12" t="s">
        <v>18</v>
      </c>
      <c r="H36" s="13" t="s">
        <v>19</v>
      </c>
      <c r="I36" s="23">
        <v>720</v>
      </c>
      <c r="J36" s="14">
        <v>170</v>
      </c>
      <c r="K36" s="15">
        <v>0.028</v>
      </c>
      <c r="L36" s="16">
        <v>22.4</v>
      </c>
      <c r="M36" s="17" t="s">
        <v>26</v>
      </c>
    </row>
    <row r="37" ht="33" customHeight="1" spans="1:13">
      <c r="A37" s="7" t="s">
        <v>59</v>
      </c>
      <c r="B37" s="8"/>
      <c r="C37" s="34" t="s">
        <v>60</v>
      </c>
      <c r="D37" s="10" t="s">
        <v>34</v>
      </c>
      <c r="E37" s="28" t="s">
        <v>61</v>
      </c>
      <c r="F37" s="9" t="s">
        <v>17</v>
      </c>
      <c r="G37" s="12" t="s">
        <v>31</v>
      </c>
      <c r="H37" s="13" t="s">
        <v>19</v>
      </c>
      <c r="I37" s="23">
        <v>720</v>
      </c>
      <c r="J37" s="14">
        <v>90</v>
      </c>
      <c r="K37" s="15">
        <v>0.016</v>
      </c>
      <c r="L37" s="16">
        <v>9.1</v>
      </c>
      <c r="M37" s="17" t="s">
        <v>24</v>
      </c>
    </row>
    <row r="38" ht="33" customHeight="1" spans="1:13">
      <c r="A38" s="18" t="s">
        <v>59</v>
      </c>
      <c r="B38" s="8"/>
      <c r="C38" s="35" t="s">
        <v>60</v>
      </c>
      <c r="D38" s="10" t="s">
        <v>35</v>
      </c>
      <c r="E38" s="28" t="s">
        <v>61</v>
      </c>
      <c r="F38" s="9" t="s">
        <v>17</v>
      </c>
      <c r="G38" s="12" t="s">
        <v>31</v>
      </c>
      <c r="H38" s="13" t="s">
        <v>23</v>
      </c>
      <c r="I38" s="23">
        <v>720</v>
      </c>
      <c r="J38" s="14">
        <v>115</v>
      </c>
      <c r="K38" s="15">
        <v>0.016</v>
      </c>
      <c r="L38" s="16">
        <v>10.4</v>
      </c>
      <c r="M38" s="17" t="s">
        <v>20</v>
      </c>
    </row>
    <row r="39" ht="33" customHeight="1" spans="1:13">
      <c r="A39" s="20" t="s">
        <v>59</v>
      </c>
      <c r="B39" s="8"/>
      <c r="C39" s="36" t="s">
        <v>60</v>
      </c>
      <c r="D39" s="10" t="s">
        <v>36</v>
      </c>
      <c r="E39" s="28" t="s">
        <v>61</v>
      </c>
      <c r="F39" s="9" t="s">
        <v>17</v>
      </c>
      <c r="G39" s="12" t="s">
        <v>31</v>
      </c>
      <c r="H39" s="13" t="s">
        <v>23</v>
      </c>
      <c r="I39" s="23">
        <v>720</v>
      </c>
      <c r="J39" s="14">
        <v>135</v>
      </c>
      <c r="K39" s="15">
        <v>0.016</v>
      </c>
      <c r="L39" s="16">
        <v>14.2</v>
      </c>
      <c r="M39" s="17" t="s">
        <v>26</v>
      </c>
    </row>
    <row r="40" ht="69" customHeight="1" spans="1:13">
      <c r="A40" s="37" t="s">
        <v>62</v>
      </c>
      <c r="B40" s="8"/>
      <c r="C40" s="11" t="s">
        <v>60</v>
      </c>
      <c r="D40" s="10" t="s">
        <v>43</v>
      </c>
      <c r="E40" s="28" t="s">
        <v>61</v>
      </c>
      <c r="F40" s="9" t="s">
        <v>17</v>
      </c>
      <c r="G40" s="12" t="s">
        <v>31</v>
      </c>
      <c r="H40" s="13" t="s">
        <v>19</v>
      </c>
      <c r="I40" s="23">
        <v>720</v>
      </c>
      <c r="J40" s="14">
        <v>170</v>
      </c>
      <c r="K40" s="15">
        <v>0.028</v>
      </c>
      <c r="L40" s="16">
        <v>22.4</v>
      </c>
      <c r="M40" s="17" t="s">
        <v>26</v>
      </c>
    </row>
    <row r="41" ht="82" customHeight="1" spans="1:13">
      <c r="A41" s="37" t="s">
        <v>63</v>
      </c>
      <c r="B41" s="8"/>
      <c r="C41" s="11" t="s">
        <v>64</v>
      </c>
      <c r="D41" s="10" t="s">
        <v>43</v>
      </c>
      <c r="E41" s="28" t="s">
        <v>65</v>
      </c>
      <c r="F41" s="9" t="s">
        <v>17</v>
      </c>
      <c r="G41" s="12" t="s">
        <v>31</v>
      </c>
      <c r="H41" s="13" t="s">
        <v>19</v>
      </c>
      <c r="I41" s="23">
        <v>720</v>
      </c>
      <c r="J41" s="14">
        <v>190</v>
      </c>
      <c r="K41" s="15">
        <v>0.028</v>
      </c>
      <c r="L41" s="16">
        <v>22.4</v>
      </c>
      <c r="M41" s="17" t="s">
        <v>26</v>
      </c>
    </row>
    <row r="42" ht="39" customHeight="1" spans="1:13">
      <c r="A42" s="7" t="s">
        <v>66</v>
      </c>
      <c r="B42" s="8"/>
      <c r="C42" s="34" t="s">
        <v>67</v>
      </c>
      <c r="D42" s="10" t="s">
        <v>34</v>
      </c>
      <c r="E42" s="28" t="s">
        <v>61</v>
      </c>
      <c r="F42" s="9" t="s">
        <v>17</v>
      </c>
      <c r="G42" s="38" t="s">
        <v>68</v>
      </c>
      <c r="H42" s="13" t="s">
        <v>69</v>
      </c>
      <c r="I42" s="23">
        <v>720</v>
      </c>
      <c r="J42" s="14">
        <v>130</v>
      </c>
      <c r="K42" s="15">
        <v>0.02</v>
      </c>
      <c r="L42" s="16">
        <f>L37+0.4</f>
        <v>9.5</v>
      </c>
      <c r="M42" s="17" t="s">
        <v>70</v>
      </c>
    </row>
    <row r="43" ht="39" customHeight="1" spans="1:13">
      <c r="A43" s="18" t="s">
        <v>66</v>
      </c>
      <c r="B43" s="8"/>
      <c r="C43" s="35" t="s">
        <v>67</v>
      </c>
      <c r="D43" s="10" t="s">
        <v>35</v>
      </c>
      <c r="E43" s="28" t="s">
        <v>61</v>
      </c>
      <c r="F43" s="9" t="s">
        <v>17</v>
      </c>
      <c r="G43" s="38" t="s">
        <v>68</v>
      </c>
      <c r="H43" s="13" t="s">
        <v>23</v>
      </c>
      <c r="I43" s="23">
        <v>720</v>
      </c>
      <c r="J43" s="14">
        <v>155</v>
      </c>
      <c r="K43" s="15">
        <v>0.02</v>
      </c>
      <c r="L43" s="16">
        <f>L38+0.4</f>
        <v>10.8</v>
      </c>
      <c r="M43" s="17" t="s">
        <v>70</v>
      </c>
    </row>
    <row r="44" ht="39" customHeight="1" spans="1:13">
      <c r="A44" s="20" t="s">
        <v>66</v>
      </c>
      <c r="B44" s="8"/>
      <c r="C44" s="36" t="s">
        <v>67</v>
      </c>
      <c r="D44" s="10" t="s">
        <v>36</v>
      </c>
      <c r="E44" s="28" t="s">
        <v>61</v>
      </c>
      <c r="F44" s="9" t="s">
        <v>17</v>
      </c>
      <c r="G44" s="38" t="s">
        <v>68</v>
      </c>
      <c r="H44" s="13" t="s">
        <v>23</v>
      </c>
      <c r="I44" s="23">
        <v>720</v>
      </c>
      <c r="J44" s="14">
        <v>190</v>
      </c>
      <c r="K44" s="15">
        <v>0.02</v>
      </c>
      <c r="L44" s="16">
        <f>L39+0.4</f>
        <v>14.6</v>
      </c>
      <c r="M44" s="17" t="s">
        <v>70</v>
      </c>
    </row>
    <row r="45" ht="84" customHeight="1" spans="1:13">
      <c r="A45" s="37" t="s">
        <v>71</v>
      </c>
      <c r="B45" s="8"/>
      <c r="C45" s="28" t="s">
        <v>72</v>
      </c>
      <c r="D45" s="10" t="s">
        <v>43</v>
      </c>
      <c r="E45" s="28" t="s">
        <v>61</v>
      </c>
      <c r="F45" s="9" t="s">
        <v>17</v>
      </c>
      <c r="G45" s="38" t="s">
        <v>68</v>
      </c>
      <c r="H45" s="13" t="s">
        <v>23</v>
      </c>
      <c r="I45" s="23">
        <v>720</v>
      </c>
      <c r="J45" s="14">
        <v>290</v>
      </c>
      <c r="K45" s="15">
        <v>0.035</v>
      </c>
      <c r="L45" s="16">
        <v>23.4</v>
      </c>
      <c r="M45" s="17" t="s">
        <v>70</v>
      </c>
    </row>
    <row r="46" ht="69" customHeight="1" spans="1:13">
      <c r="A46" s="37" t="s">
        <v>73</v>
      </c>
      <c r="B46" s="8"/>
      <c r="C46" s="28" t="s">
        <v>74</v>
      </c>
      <c r="D46" s="10" t="s">
        <v>43</v>
      </c>
      <c r="E46" s="28" t="s">
        <v>65</v>
      </c>
      <c r="F46" s="9" t="s">
        <v>17</v>
      </c>
      <c r="G46" s="38" t="s">
        <v>68</v>
      </c>
      <c r="H46" s="13" t="s">
        <v>23</v>
      </c>
      <c r="I46" s="23">
        <v>720</v>
      </c>
      <c r="J46" s="14">
        <v>300</v>
      </c>
      <c r="K46" s="15">
        <v>0.035</v>
      </c>
      <c r="L46" s="16">
        <v>23.4</v>
      </c>
      <c r="M46" s="17" t="s">
        <v>70</v>
      </c>
    </row>
    <row r="47" ht="33" customHeight="1" spans="1:13">
      <c r="A47" s="7" t="s">
        <v>75</v>
      </c>
      <c r="B47" s="8"/>
      <c r="C47" s="30" t="s">
        <v>76</v>
      </c>
      <c r="D47" s="10" t="s">
        <v>34</v>
      </c>
      <c r="E47" s="28" t="s">
        <v>61</v>
      </c>
      <c r="F47" s="9" t="s">
        <v>17</v>
      </c>
      <c r="G47" s="12" t="s">
        <v>77</v>
      </c>
      <c r="H47" s="13" t="s">
        <v>78</v>
      </c>
      <c r="I47" s="23">
        <v>720</v>
      </c>
      <c r="J47" s="14">
        <v>235</v>
      </c>
      <c r="K47" s="15">
        <f t="shared" ref="K47:K49" si="0">0.016+0.035</f>
        <v>0.051</v>
      </c>
      <c r="L47" s="16">
        <f>L37+5.25</f>
        <v>14.35</v>
      </c>
      <c r="M47" s="17" t="s">
        <v>79</v>
      </c>
    </row>
    <row r="48" ht="33" customHeight="1" spans="1:13">
      <c r="A48" s="18" t="s">
        <v>75</v>
      </c>
      <c r="B48" s="8"/>
      <c r="C48" s="32" t="s">
        <v>76</v>
      </c>
      <c r="D48" s="10" t="s">
        <v>35</v>
      </c>
      <c r="E48" s="28" t="s">
        <v>61</v>
      </c>
      <c r="F48" s="9" t="s">
        <v>17</v>
      </c>
      <c r="G48" s="12" t="s">
        <v>77</v>
      </c>
      <c r="H48" s="13" t="s">
        <v>78</v>
      </c>
      <c r="I48" s="23">
        <v>720</v>
      </c>
      <c r="J48" s="14">
        <v>245</v>
      </c>
      <c r="K48" s="15">
        <f t="shared" si="0"/>
        <v>0.051</v>
      </c>
      <c r="L48" s="16">
        <f>L38+5.25</f>
        <v>15.65</v>
      </c>
      <c r="M48" s="17" t="s">
        <v>79</v>
      </c>
    </row>
    <row r="49" ht="33" customHeight="1" spans="1:13">
      <c r="A49" s="20" t="s">
        <v>75</v>
      </c>
      <c r="B49" s="8"/>
      <c r="C49" s="33" t="s">
        <v>76</v>
      </c>
      <c r="D49" s="10" t="s">
        <v>36</v>
      </c>
      <c r="E49" s="28" t="s">
        <v>61</v>
      </c>
      <c r="F49" s="9" t="s">
        <v>17</v>
      </c>
      <c r="G49" s="12" t="s">
        <v>77</v>
      </c>
      <c r="H49" s="13" t="s">
        <v>78</v>
      </c>
      <c r="I49" s="23">
        <v>720</v>
      </c>
      <c r="J49" s="14">
        <v>255</v>
      </c>
      <c r="K49" s="15">
        <f t="shared" si="0"/>
        <v>0.051</v>
      </c>
      <c r="L49" s="16">
        <f>L39+5.25</f>
        <v>19.45</v>
      </c>
      <c r="M49" s="17" t="s">
        <v>79</v>
      </c>
    </row>
    <row r="50" ht="33" customHeight="1" spans="1:13">
      <c r="A50" s="7" t="s">
        <v>80</v>
      </c>
      <c r="B50" s="8"/>
      <c r="C50" s="30" t="s">
        <v>76</v>
      </c>
      <c r="D50" s="10" t="s">
        <v>34</v>
      </c>
      <c r="E50" s="28" t="s">
        <v>81</v>
      </c>
      <c r="F50" s="9" t="s">
        <v>17</v>
      </c>
      <c r="G50" s="12" t="s">
        <v>82</v>
      </c>
      <c r="H50" s="13" t="s">
        <v>78</v>
      </c>
      <c r="I50" s="23">
        <v>720</v>
      </c>
      <c r="J50" s="14">
        <v>235</v>
      </c>
      <c r="K50" s="15">
        <f t="shared" ref="K50:K52" si="1">0.016+0.035</f>
        <v>0.051</v>
      </c>
      <c r="L50" s="16">
        <f>L41+5.25</f>
        <v>27.65</v>
      </c>
      <c r="M50" s="17" t="s">
        <v>79</v>
      </c>
    </row>
    <row r="51" ht="33" customHeight="1" spans="1:13">
      <c r="A51" s="18" t="s">
        <v>80</v>
      </c>
      <c r="B51" s="8"/>
      <c r="C51" s="32" t="s">
        <v>76</v>
      </c>
      <c r="D51" s="10" t="s">
        <v>35</v>
      </c>
      <c r="E51" s="28" t="s">
        <v>81</v>
      </c>
      <c r="F51" s="9" t="s">
        <v>17</v>
      </c>
      <c r="G51" s="12" t="s">
        <v>82</v>
      </c>
      <c r="H51" s="13" t="s">
        <v>78</v>
      </c>
      <c r="I51" s="23">
        <v>720</v>
      </c>
      <c r="J51" s="14">
        <v>249</v>
      </c>
      <c r="K51" s="15">
        <f t="shared" si="1"/>
        <v>0.051</v>
      </c>
      <c r="L51" s="16">
        <f>L42+5.25</f>
        <v>14.75</v>
      </c>
      <c r="M51" s="17" t="s">
        <v>79</v>
      </c>
    </row>
    <row r="52" ht="33" customHeight="1" spans="1:13">
      <c r="A52" s="20" t="s">
        <v>80</v>
      </c>
      <c r="B52" s="8"/>
      <c r="C52" s="33" t="s">
        <v>76</v>
      </c>
      <c r="D52" s="10" t="s">
        <v>36</v>
      </c>
      <c r="E52" s="28" t="s">
        <v>81</v>
      </c>
      <c r="F52" s="9" t="s">
        <v>17</v>
      </c>
      <c r="G52" s="12" t="s">
        <v>82</v>
      </c>
      <c r="H52" s="13" t="s">
        <v>78</v>
      </c>
      <c r="I52" s="23">
        <v>720</v>
      </c>
      <c r="J52" s="14">
        <v>265</v>
      </c>
      <c r="K52" s="15">
        <f t="shared" si="1"/>
        <v>0.051</v>
      </c>
      <c r="L52" s="16">
        <f>L43+5.25</f>
        <v>16.05</v>
      </c>
      <c r="M52" s="17" t="s">
        <v>79</v>
      </c>
    </row>
    <row r="53" ht="33" customHeight="1" spans="1:13">
      <c r="A53" s="7" t="s">
        <v>83</v>
      </c>
      <c r="B53" s="8"/>
      <c r="C53" s="30" t="s">
        <v>76</v>
      </c>
      <c r="D53" s="10" t="s">
        <v>34</v>
      </c>
      <c r="E53" s="28" t="s">
        <v>61</v>
      </c>
      <c r="F53" s="9" t="s">
        <v>17</v>
      </c>
      <c r="G53" s="12" t="s">
        <v>77</v>
      </c>
      <c r="H53" s="13" t="s">
        <v>78</v>
      </c>
      <c r="I53" s="23">
        <v>720</v>
      </c>
      <c r="J53" s="14">
        <v>245</v>
      </c>
      <c r="K53" s="15">
        <f t="shared" ref="K53:K55" si="2">K45+5.25</f>
        <v>5.285</v>
      </c>
      <c r="L53" s="16">
        <f t="shared" ref="L53:L55" si="3">L45+5.25</f>
        <v>28.65</v>
      </c>
      <c r="M53" s="17" t="s">
        <v>79</v>
      </c>
    </row>
    <row r="54" ht="33" customHeight="1" spans="1:13">
      <c r="A54" s="18" t="s">
        <v>83</v>
      </c>
      <c r="B54" s="8"/>
      <c r="C54" s="32" t="s">
        <v>76</v>
      </c>
      <c r="D54" s="10" t="s">
        <v>35</v>
      </c>
      <c r="E54" s="28" t="s">
        <v>61</v>
      </c>
      <c r="F54" s="9" t="s">
        <v>17</v>
      </c>
      <c r="G54" s="12" t="s">
        <v>77</v>
      </c>
      <c r="H54" s="13" t="s">
        <v>78</v>
      </c>
      <c r="I54" s="23">
        <v>720</v>
      </c>
      <c r="J54" s="14">
        <v>255</v>
      </c>
      <c r="K54" s="15">
        <f t="shared" si="2"/>
        <v>5.285</v>
      </c>
      <c r="L54" s="16">
        <f t="shared" si="3"/>
        <v>28.65</v>
      </c>
      <c r="M54" s="17" t="s">
        <v>79</v>
      </c>
    </row>
    <row r="55" ht="33" customHeight="1" spans="1:13">
      <c r="A55" s="20" t="s">
        <v>83</v>
      </c>
      <c r="B55" s="8"/>
      <c r="C55" s="33" t="s">
        <v>76</v>
      </c>
      <c r="D55" s="10" t="s">
        <v>36</v>
      </c>
      <c r="E55" s="28" t="s">
        <v>61</v>
      </c>
      <c r="F55" s="9" t="s">
        <v>17</v>
      </c>
      <c r="G55" s="12" t="s">
        <v>77</v>
      </c>
      <c r="H55" s="13" t="s">
        <v>78</v>
      </c>
      <c r="I55" s="23">
        <v>720</v>
      </c>
      <c r="J55" s="14">
        <v>275</v>
      </c>
      <c r="K55" s="15">
        <f t="shared" si="2"/>
        <v>5.301</v>
      </c>
      <c r="L55" s="16">
        <f t="shared" si="3"/>
        <v>19.6</v>
      </c>
      <c r="M55" s="17" t="s">
        <v>79</v>
      </c>
    </row>
    <row r="56" ht="33" customHeight="1" spans="1:13">
      <c r="A56" s="7" t="s">
        <v>84</v>
      </c>
      <c r="B56" s="8"/>
      <c r="C56" s="30" t="s">
        <v>85</v>
      </c>
      <c r="D56" s="10" t="s">
        <v>21</v>
      </c>
      <c r="E56" s="28" t="s">
        <v>86</v>
      </c>
      <c r="F56" s="9" t="s">
        <v>87</v>
      </c>
      <c r="G56" s="12" t="s">
        <v>88</v>
      </c>
      <c r="H56" s="13" t="s">
        <v>19</v>
      </c>
      <c r="I56" s="23">
        <v>720</v>
      </c>
      <c r="J56" s="14">
        <v>58</v>
      </c>
      <c r="K56" s="15">
        <f>K3</f>
        <v>0.009</v>
      </c>
      <c r="L56" s="16">
        <f>L3-0.5</f>
        <v>10.6</v>
      </c>
      <c r="M56" s="17" t="s">
        <v>24</v>
      </c>
    </row>
    <row r="57" ht="33" customHeight="1" spans="1:13">
      <c r="A57" s="18" t="s">
        <v>84</v>
      </c>
      <c r="B57" s="8"/>
      <c r="C57" s="32" t="s">
        <v>85</v>
      </c>
      <c r="D57" s="10" t="s">
        <v>22</v>
      </c>
      <c r="E57" s="28" t="s">
        <v>86</v>
      </c>
      <c r="F57" s="9" t="s">
        <v>87</v>
      </c>
      <c r="G57" s="12" t="s">
        <v>88</v>
      </c>
      <c r="H57" s="13" t="s">
        <v>78</v>
      </c>
      <c r="I57" s="23">
        <v>720</v>
      </c>
      <c r="J57" s="14">
        <v>80</v>
      </c>
      <c r="K57" s="15">
        <f>K4</f>
        <v>0.009</v>
      </c>
      <c r="L57" s="16">
        <f>L4-0.5</f>
        <v>10.85</v>
      </c>
      <c r="M57" s="17" t="s">
        <v>20</v>
      </c>
    </row>
    <row r="58" ht="33" customHeight="1" spans="1:13">
      <c r="A58" s="20" t="s">
        <v>84</v>
      </c>
      <c r="B58" s="8"/>
      <c r="C58" s="33" t="s">
        <v>85</v>
      </c>
      <c r="D58" s="10" t="s">
        <v>25</v>
      </c>
      <c r="E58" s="28" t="s">
        <v>86</v>
      </c>
      <c r="F58" s="9" t="s">
        <v>87</v>
      </c>
      <c r="G58" s="12" t="s">
        <v>88</v>
      </c>
      <c r="H58" s="13" t="s">
        <v>78</v>
      </c>
      <c r="I58" s="23">
        <v>720</v>
      </c>
      <c r="J58" s="14">
        <v>93</v>
      </c>
      <c r="K58" s="15">
        <f>K5</f>
        <v>0.01</v>
      </c>
      <c r="L58" s="16">
        <f>L5-0.5</f>
        <v>16.7</v>
      </c>
      <c r="M58" s="17" t="s">
        <v>24</v>
      </c>
    </row>
    <row r="59" ht="33" customHeight="1" spans="1:13">
      <c r="A59" s="7" t="s">
        <v>89</v>
      </c>
      <c r="B59" s="8"/>
      <c r="C59" s="30" t="s">
        <v>85</v>
      </c>
      <c r="D59" s="10" t="s">
        <v>34</v>
      </c>
      <c r="E59" s="28" t="s">
        <v>86</v>
      </c>
      <c r="F59" s="9" t="s">
        <v>87</v>
      </c>
      <c r="G59" s="12" t="s">
        <v>90</v>
      </c>
      <c r="H59" s="13" t="s">
        <v>19</v>
      </c>
      <c r="I59" s="23">
        <v>720</v>
      </c>
      <c r="J59" s="14">
        <v>58</v>
      </c>
      <c r="K59" s="15">
        <f>K10</f>
        <v>0.016</v>
      </c>
      <c r="L59" s="16">
        <f>L10-0.5</f>
        <v>8.6</v>
      </c>
      <c r="M59" s="17" t="s">
        <v>20</v>
      </c>
    </row>
    <row r="60" ht="33" customHeight="1" spans="1:13">
      <c r="A60" s="18" t="s">
        <v>89</v>
      </c>
      <c r="B60" s="8"/>
      <c r="C60" s="32" t="s">
        <v>85</v>
      </c>
      <c r="D60" s="10" t="s">
        <v>35</v>
      </c>
      <c r="E60" s="28" t="s">
        <v>86</v>
      </c>
      <c r="F60" s="9" t="s">
        <v>87</v>
      </c>
      <c r="G60" s="12" t="s">
        <v>90</v>
      </c>
      <c r="H60" s="13" t="s">
        <v>78</v>
      </c>
      <c r="I60" s="23">
        <v>720</v>
      </c>
      <c r="J60" s="14">
        <v>80</v>
      </c>
      <c r="K60" s="15">
        <f>K11</f>
        <v>0.016</v>
      </c>
      <c r="L60" s="16">
        <f>L11-0.5</f>
        <v>9.9</v>
      </c>
      <c r="M60" s="17" t="s">
        <v>24</v>
      </c>
    </row>
    <row r="61" ht="43" customHeight="1" spans="1:13">
      <c r="A61" s="20" t="s">
        <v>89</v>
      </c>
      <c r="B61" s="8"/>
      <c r="C61" s="33" t="s">
        <v>85</v>
      </c>
      <c r="D61" s="10" t="s">
        <v>36</v>
      </c>
      <c r="E61" s="28" t="s">
        <v>86</v>
      </c>
      <c r="F61" s="9" t="s">
        <v>87</v>
      </c>
      <c r="G61" s="12" t="s">
        <v>90</v>
      </c>
      <c r="H61" s="13" t="s">
        <v>78</v>
      </c>
      <c r="I61" s="23">
        <v>720</v>
      </c>
      <c r="J61" s="14">
        <v>93</v>
      </c>
      <c r="K61" s="15">
        <f>K12</f>
        <v>0.016</v>
      </c>
      <c r="L61" s="16">
        <f>L12-0.5</f>
        <v>13.7</v>
      </c>
      <c r="M61" s="17" t="s">
        <v>20</v>
      </c>
    </row>
    <row r="62" ht="33" customHeight="1" spans="1:13">
      <c r="A62" s="7" t="s">
        <v>91</v>
      </c>
      <c r="B62" s="8"/>
      <c r="C62" s="30" t="s">
        <v>85</v>
      </c>
      <c r="D62" s="10" t="s">
        <v>43</v>
      </c>
      <c r="E62" s="28" t="s">
        <v>86</v>
      </c>
      <c r="F62" s="9" t="s">
        <v>87</v>
      </c>
      <c r="G62" s="12" t="s">
        <v>88</v>
      </c>
      <c r="H62" s="13" t="s">
        <v>19</v>
      </c>
      <c r="I62" s="23">
        <v>720</v>
      </c>
      <c r="J62" s="14">
        <v>104</v>
      </c>
      <c r="K62" s="15"/>
      <c r="L62" s="16"/>
      <c r="M62" s="17" t="s">
        <v>24</v>
      </c>
    </row>
    <row r="63" ht="33" customHeight="1" spans="1:13">
      <c r="A63" s="18" t="s">
        <v>91</v>
      </c>
      <c r="B63" s="8"/>
      <c r="C63" s="32" t="s">
        <v>85</v>
      </c>
      <c r="D63" s="10" t="s">
        <v>92</v>
      </c>
      <c r="E63" s="28" t="s">
        <v>86</v>
      </c>
      <c r="F63" s="9" t="s">
        <v>87</v>
      </c>
      <c r="G63" s="12" t="s">
        <v>88</v>
      </c>
      <c r="H63" s="13" t="s">
        <v>78</v>
      </c>
      <c r="I63" s="8"/>
      <c r="J63" s="14">
        <v>165</v>
      </c>
      <c r="K63" s="15"/>
      <c r="L63" s="16"/>
      <c r="M63" s="17" t="s">
        <v>20</v>
      </c>
    </row>
    <row r="64" ht="33" customHeight="1" spans="1:13">
      <c r="A64" s="20" t="s">
        <v>91</v>
      </c>
      <c r="B64" s="8"/>
      <c r="C64" s="33" t="s">
        <v>85</v>
      </c>
      <c r="D64" s="10" t="s">
        <v>93</v>
      </c>
      <c r="E64" s="28" t="s">
        <v>86</v>
      </c>
      <c r="F64" s="9" t="s">
        <v>87</v>
      </c>
      <c r="G64" s="12" t="s">
        <v>88</v>
      </c>
      <c r="H64" s="13" t="s">
        <v>78</v>
      </c>
      <c r="I64" s="8"/>
      <c r="J64" s="14">
        <v>180</v>
      </c>
      <c r="K64" s="15"/>
      <c r="L64" s="16"/>
      <c r="M64" s="17" t="s">
        <v>24</v>
      </c>
    </row>
    <row r="65" ht="33" customHeight="1" spans="1:13">
      <c r="A65" s="7" t="s">
        <v>94</v>
      </c>
      <c r="B65" s="39"/>
      <c r="C65" s="30" t="s">
        <v>85</v>
      </c>
      <c r="D65" s="10" t="s">
        <v>39</v>
      </c>
      <c r="E65" s="28" t="s">
        <v>86</v>
      </c>
      <c r="F65" s="9" t="s">
        <v>87</v>
      </c>
      <c r="G65" s="12" t="s">
        <v>88</v>
      </c>
      <c r="H65" s="13" t="s">
        <v>78</v>
      </c>
      <c r="I65" s="23">
        <v>720</v>
      </c>
      <c r="J65" s="14">
        <v>174</v>
      </c>
      <c r="K65" s="15">
        <v>0.017</v>
      </c>
      <c r="L65" s="16">
        <v>18.7</v>
      </c>
      <c r="M65" s="17" t="s">
        <v>20</v>
      </c>
    </row>
    <row r="66" ht="53.4" customHeight="1" spans="1:13">
      <c r="A66" s="20" t="s">
        <v>94</v>
      </c>
      <c r="B66" s="39"/>
      <c r="C66" s="33" t="s">
        <v>85</v>
      </c>
      <c r="D66" s="10" t="s">
        <v>41</v>
      </c>
      <c r="E66" s="28" t="s">
        <v>86</v>
      </c>
      <c r="F66" s="9" t="s">
        <v>87</v>
      </c>
      <c r="G66" s="12" t="s">
        <v>88</v>
      </c>
      <c r="H66" s="13" t="s">
        <v>78</v>
      </c>
      <c r="I66" s="23">
        <v>720</v>
      </c>
      <c r="J66" s="14">
        <v>228</v>
      </c>
      <c r="K66" s="15">
        <v>0.019</v>
      </c>
      <c r="L66" s="16">
        <v>27.2</v>
      </c>
      <c r="M66" s="17" t="s">
        <v>24</v>
      </c>
    </row>
    <row r="67" ht="78" customHeight="1" spans="1:13">
      <c r="A67" s="7" t="s">
        <v>95</v>
      </c>
      <c r="B67" s="8"/>
      <c r="C67" s="30" t="s">
        <v>96</v>
      </c>
      <c r="D67" s="10" t="s">
        <v>21</v>
      </c>
      <c r="E67" s="28" t="s">
        <v>86</v>
      </c>
      <c r="F67" s="9" t="s">
        <v>87</v>
      </c>
      <c r="G67" s="10" t="s">
        <v>90</v>
      </c>
      <c r="H67" s="13" t="s">
        <v>19</v>
      </c>
      <c r="I67" s="23">
        <v>720</v>
      </c>
      <c r="J67" s="14">
        <v>60</v>
      </c>
      <c r="K67" s="15"/>
      <c r="L67" s="16"/>
      <c r="M67" s="17" t="s">
        <v>20</v>
      </c>
    </row>
    <row r="68" ht="33" customHeight="1" spans="1:13">
      <c r="A68" s="18" t="s">
        <v>95</v>
      </c>
      <c r="B68" s="8"/>
      <c r="C68" s="32" t="s">
        <v>96</v>
      </c>
      <c r="D68" s="10" t="s">
        <v>22</v>
      </c>
      <c r="E68" s="28" t="s">
        <v>86</v>
      </c>
      <c r="F68" s="9" t="s">
        <v>87</v>
      </c>
      <c r="G68" s="10" t="s">
        <v>90</v>
      </c>
      <c r="H68" s="13" t="s">
        <v>78</v>
      </c>
      <c r="I68" s="23">
        <v>720</v>
      </c>
      <c r="J68" s="14">
        <v>82</v>
      </c>
      <c r="K68" s="15"/>
      <c r="L68" s="16"/>
      <c r="M68" s="17" t="s">
        <v>24</v>
      </c>
    </row>
    <row r="69" ht="33" customHeight="1" spans="1:13">
      <c r="A69" s="20" t="s">
        <v>95</v>
      </c>
      <c r="B69" s="8"/>
      <c r="C69" s="33" t="s">
        <v>96</v>
      </c>
      <c r="D69" s="10" t="s">
        <v>25</v>
      </c>
      <c r="E69" s="28" t="s">
        <v>86</v>
      </c>
      <c r="F69" s="9" t="s">
        <v>87</v>
      </c>
      <c r="G69" s="10" t="s">
        <v>90</v>
      </c>
      <c r="H69" s="13" t="s">
        <v>78</v>
      </c>
      <c r="I69" s="23">
        <v>720</v>
      </c>
      <c r="J69" s="14">
        <v>95</v>
      </c>
      <c r="K69" s="15"/>
      <c r="L69" s="16"/>
      <c r="M69" s="17" t="s">
        <v>20</v>
      </c>
    </row>
    <row r="70" ht="81" customHeight="1" spans="1:13">
      <c r="A70" s="29" t="s">
        <v>97</v>
      </c>
      <c r="B70" s="8"/>
      <c r="C70" s="28" t="s">
        <v>96</v>
      </c>
      <c r="D70" s="10" t="s">
        <v>43</v>
      </c>
      <c r="E70" s="28" t="s">
        <v>86</v>
      </c>
      <c r="F70" s="9" t="s">
        <v>87</v>
      </c>
      <c r="G70" s="10" t="s">
        <v>90</v>
      </c>
      <c r="H70" s="13" t="s">
        <v>19</v>
      </c>
      <c r="I70" s="23">
        <v>720</v>
      </c>
      <c r="J70" s="14">
        <v>106</v>
      </c>
      <c r="K70" s="15"/>
      <c r="L70" s="16"/>
      <c r="M70" s="17" t="s">
        <v>24</v>
      </c>
    </row>
    <row r="71" ht="87" customHeight="1" spans="1:13">
      <c r="A71" s="29" t="s">
        <v>98</v>
      </c>
      <c r="B71" s="8"/>
      <c r="C71" s="28" t="s">
        <v>99</v>
      </c>
      <c r="D71" s="10" t="s">
        <v>100</v>
      </c>
      <c r="E71" s="28" t="s">
        <v>101</v>
      </c>
      <c r="F71" s="9" t="s">
        <v>102</v>
      </c>
      <c r="G71" s="10" t="s">
        <v>103</v>
      </c>
      <c r="H71" s="13" t="s">
        <v>19</v>
      </c>
      <c r="I71" s="23">
        <v>720</v>
      </c>
      <c r="J71" s="14">
        <v>48</v>
      </c>
      <c r="K71" s="15"/>
      <c r="L71" s="16"/>
      <c r="M71" s="17" t="s">
        <v>20</v>
      </c>
    </row>
    <row r="72" ht="81" customHeight="1" spans="1:13">
      <c r="A72" s="29" t="s">
        <v>104</v>
      </c>
      <c r="B72" s="8"/>
      <c r="C72" s="28" t="s">
        <v>99</v>
      </c>
      <c r="D72" s="10" t="s">
        <v>105</v>
      </c>
      <c r="E72" s="28" t="s">
        <v>101</v>
      </c>
      <c r="F72" s="9" t="s">
        <v>102</v>
      </c>
      <c r="G72" s="10" t="s">
        <v>103</v>
      </c>
      <c r="H72" s="13" t="s">
        <v>19</v>
      </c>
      <c r="I72" s="23">
        <v>720</v>
      </c>
      <c r="J72" s="14">
        <v>48</v>
      </c>
      <c r="K72" s="15"/>
      <c r="L72" s="16"/>
      <c r="M72" s="17" t="s">
        <v>24</v>
      </c>
    </row>
    <row r="73" ht="90" customHeight="1" spans="1:13">
      <c r="A73" s="29" t="s">
        <v>106</v>
      </c>
      <c r="B73" s="8"/>
      <c r="C73" s="28" t="s">
        <v>99</v>
      </c>
      <c r="D73" s="10" t="s">
        <v>43</v>
      </c>
      <c r="E73" s="28" t="s">
        <v>101</v>
      </c>
      <c r="F73" s="9" t="s">
        <v>102</v>
      </c>
      <c r="G73" s="10" t="s">
        <v>103</v>
      </c>
      <c r="H73" s="13" t="s">
        <v>19</v>
      </c>
      <c r="I73" s="23">
        <v>720</v>
      </c>
      <c r="J73" s="14">
        <v>80</v>
      </c>
      <c r="K73" s="15"/>
      <c r="L73" s="16"/>
      <c r="M73" s="17" t="s">
        <v>20</v>
      </c>
    </row>
    <row r="74" ht="91" customHeight="1" spans="1:13">
      <c r="A74" s="40" t="s">
        <v>107</v>
      </c>
      <c r="B74" s="8"/>
      <c r="C74" s="28" t="s">
        <v>99</v>
      </c>
      <c r="D74" s="10" t="s">
        <v>100</v>
      </c>
      <c r="E74" s="28" t="s">
        <v>108</v>
      </c>
      <c r="F74" s="9" t="s">
        <v>102</v>
      </c>
      <c r="G74" s="10" t="s">
        <v>103</v>
      </c>
      <c r="H74" s="13" t="s">
        <v>19</v>
      </c>
      <c r="I74" s="23">
        <v>720</v>
      </c>
      <c r="J74" s="14">
        <v>48</v>
      </c>
      <c r="K74" s="15"/>
      <c r="L74" s="16"/>
      <c r="M74" s="17" t="s">
        <v>24</v>
      </c>
    </row>
    <row r="75" ht="77.4" customHeight="1" spans="1:13">
      <c r="A75" s="40" t="s">
        <v>109</v>
      </c>
      <c r="B75" s="8"/>
      <c r="C75" s="28" t="s">
        <v>99</v>
      </c>
      <c r="D75" s="10" t="s">
        <v>105</v>
      </c>
      <c r="E75" s="28" t="s">
        <v>108</v>
      </c>
      <c r="F75" s="9" t="s">
        <v>102</v>
      </c>
      <c r="G75" s="10" t="s">
        <v>103</v>
      </c>
      <c r="H75" s="13" t="s">
        <v>19</v>
      </c>
      <c r="I75" s="23">
        <v>720</v>
      </c>
      <c r="J75" s="14">
        <v>48</v>
      </c>
      <c r="K75" s="15"/>
      <c r="L75" s="16"/>
      <c r="M75" s="17" t="s">
        <v>20</v>
      </c>
    </row>
    <row r="76" ht="70.8" customHeight="1" spans="1:13">
      <c r="A76" s="40" t="s">
        <v>110</v>
      </c>
      <c r="B76" s="8"/>
      <c r="C76" s="28" t="s">
        <v>99</v>
      </c>
      <c r="D76" s="10" t="s">
        <v>43</v>
      </c>
      <c r="E76" s="28" t="s">
        <v>108</v>
      </c>
      <c r="F76" s="9" t="s">
        <v>102</v>
      </c>
      <c r="G76" s="10" t="s">
        <v>103</v>
      </c>
      <c r="H76" s="13" t="s">
        <v>19</v>
      </c>
      <c r="I76" s="23">
        <v>720</v>
      </c>
      <c r="J76" s="14">
        <v>80</v>
      </c>
      <c r="K76" s="15"/>
      <c r="L76" s="16"/>
      <c r="M76" s="17" t="s">
        <v>24</v>
      </c>
    </row>
    <row r="77" ht="56.4" customHeight="1" spans="1:13">
      <c r="A77" s="24" t="s">
        <v>111</v>
      </c>
      <c r="B77" s="26"/>
      <c r="C77" s="30" t="s">
        <v>99</v>
      </c>
      <c r="D77" s="10" t="s">
        <v>105</v>
      </c>
      <c r="E77" s="28" t="s">
        <v>86</v>
      </c>
      <c r="F77" s="9" t="s">
        <v>112</v>
      </c>
      <c r="G77" s="10" t="s">
        <v>103</v>
      </c>
      <c r="H77" s="13" t="s">
        <v>19</v>
      </c>
      <c r="I77" s="23">
        <v>720</v>
      </c>
      <c r="J77" s="14">
        <v>55</v>
      </c>
      <c r="K77" s="15"/>
      <c r="L77" s="16"/>
      <c r="M77" s="17" t="s">
        <v>20</v>
      </c>
    </row>
    <row r="78" ht="56.4" customHeight="1" spans="1:13">
      <c r="A78" s="41" t="s">
        <v>111</v>
      </c>
      <c r="B78" s="27"/>
      <c r="C78" s="33" t="s">
        <v>99</v>
      </c>
      <c r="D78" s="10" t="s">
        <v>22</v>
      </c>
      <c r="E78" s="28" t="s">
        <v>86</v>
      </c>
      <c r="F78" s="9" t="s">
        <v>112</v>
      </c>
      <c r="G78" s="10" t="s">
        <v>103</v>
      </c>
      <c r="H78" s="13" t="s">
        <v>19</v>
      </c>
      <c r="I78" s="23">
        <v>720</v>
      </c>
      <c r="J78" s="14">
        <v>62</v>
      </c>
      <c r="K78" s="15"/>
      <c r="L78" s="16"/>
      <c r="M78" s="17" t="s">
        <v>24</v>
      </c>
    </row>
    <row r="79" ht="87" customHeight="1" spans="1:13">
      <c r="A79" s="40" t="s">
        <v>113</v>
      </c>
      <c r="B79" s="25"/>
      <c r="C79" s="42" t="s">
        <v>99</v>
      </c>
      <c r="D79" s="10" t="s">
        <v>43</v>
      </c>
      <c r="E79" s="28" t="s">
        <v>86</v>
      </c>
      <c r="F79" s="9" t="s">
        <v>112</v>
      </c>
      <c r="G79" s="10" t="s">
        <v>103</v>
      </c>
      <c r="H79" s="13" t="s">
        <v>19</v>
      </c>
      <c r="I79" s="23">
        <v>720</v>
      </c>
      <c r="J79" s="14">
        <v>92</v>
      </c>
      <c r="K79" s="15"/>
      <c r="L79" s="16"/>
      <c r="M79" s="17" t="s">
        <v>20</v>
      </c>
    </row>
    <row r="80" ht="89.4" customHeight="1" spans="1:13">
      <c r="A80" s="40" t="s">
        <v>114</v>
      </c>
      <c r="B80" s="25"/>
      <c r="C80" s="8" t="s">
        <v>115</v>
      </c>
      <c r="D80" s="10" t="s">
        <v>100</v>
      </c>
      <c r="E80" s="28" t="s">
        <v>86</v>
      </c>
      <c r="F80" s="9" t="s">
        <v>112</v>
      </c>
      <c r="G80" s="10" t="s">
        <v>103</v>
      </c>
      <c r="H80" s="13" t="s">
        <v>19</v>
      </c>
      <c r="I80" s="23">
        <v>720</v>
      </c>
      <c r="J80" s="14">
        <v>55</v>
      </c>
      <c r="K80" s="15"/>
      <c r="L80" s="16"/>
      <c r="M80" s="17" t="s">
        <v>24</v>
      </c>
    </row>
    <row r="81" ht="51" customHeight="1" spans="1:13">
      <c r="A81" s="7" t="s">
        <v>116</v>
      </c>
      <c r="B81" s="8"/>
      <c r="C81" s="30" t="s">
        <v>117</v>
      </c>
      <c r="D81" s="10" t="s">
        <v>118</v>
      </c>
      <c r="E81" s="9" t="s">
        <v>119</v>
      </c>
      <c r="F81" s="9"/>
      <c r="G81" s="9" t="s">
        <v>120</v>
      </c>
      <c r="H81" s="9"/>
      <c r="I81" s="23">
        <v>710</v>
      </c>
      <c r="J81" s="14">
        <v>45</v>
      </c>
      <c r="K81" s="15"/>
      <c r="L81" s="16"/>
      <c r="M81" s="17" t="s">
        <v>20</v>
      </c>
    </row>
    <row r="82" ht="51" customHeight="1" spans="1:13">
      <c r="A82" s="20" t="s">
        <v>116</v>
      </c>
      <c r="B82" s="8"/>
      <c r="C82" s="33" t="s">
        <v>117</v>
      </c>
      <c r="D82" s="10" t="s">
        <v>121</v>
      </c>
      <c r="E82" s="9" t="s">
        <v>119</v>
      </c>
      <c r="F82" s="9"/>
      <c r="G82" s="9" t="s">
        <v>120</v>
      </c>
      <c r="H82" s="9"/>
      <c r="I82" s="23">
        <v>710</v>
      </c>
      <c r="J82" s="14">
        <v>50</v>
      </c>
      <c r="K82" s="15"/>
      <c r="L82" s="16"/>
      <c r="M82" s="17" t="s">
        <v>24</v>
      </c>
    </row>
    <row r="83" ht="51" customHeight="1" spans="1:13">
      <c r="A83" s="7" t="s">
        <v>122</v>
      </c>
      <c r="B83" s="8"/>
      <c r="C83" s="30" t="s">
        <v>117</v>
      </c>
      <c r="D83" s="10" t="s">
        <v>118</v>
      </c>
      <c r="E83" s="9" t="s">
        <v>101</v>
      </c>
      <c r="F83" s="9"/>
      <c r="G83" s="9" t="s">
        <v>120</v>
      </c>
      <c r="H83" s="9"/>
      <c r="I83" s="23">
        <v>710</v>
      </c>
      <c r="J83" s="14">
        <v>52</v>
      </c>
      <c r="K83" s="15"/>
      <c r="L83" s="16"/>
      <c r="M83" s="17" t="s">
        <v>20</v>
      </c>
    </row>
    <row r="84" ht="51" customHeight="1" spans="1:13">
      <c r="A84" s="20" t="s">
        <v>122</v>
      </c>
      <c r="B84" s="8"/>
      <c r="C84" s="33" t="s">
        <v>117</v>
      </c>
      <c r="D84" s="10" t="s">
        <v>121</v>
      </c>
      <c r="E84" s="9" t="s">
        <v>101</v>
      </c>
      <c r="F84" s="9"/>
      <c r="G84" s="9" t="s">
        <v>120</v>
      </c>
      <c r="H84" s="9"/>
      <c r="I84" s="23">
        <v>710</v>
      </c>
      <c r="J84" s="14">
        <v>58</v>
      </c>
      <c r="K84" s="15"/>
      <c r="L84" s="16"/>
      <c r="M84" s="17" t="s">
        <v>24</v>
      </c>
    </row>
    <row r="85" ht="33" customHeight="1" spans="1:13">
      <c r="A85" s="7" t="s">
        <v>123</v>
      </c>
      <c r="B85" s="8"/>
      <c r="C85" s="34" t="s">
        <v>124</v>
      </c>
      <c r="D85" s="10" t="s">
        <v>118</v>
      </c>
      <c r="E85" s="9" t="s">
        <v>108</v>
      </c>
      <c r="F85" s="9"/>
      <c r="G85" s="9" t="s">
        <v>120</v>
      </c>
      <c r="H85" s="9"/>
      <c r="I85" s="23">
        <v>710</v>
      </c>
      <c r="J85" s="14">
        <v>52</v>
      </c>
      <c r="K85" s="15"/>
      <c r="L85" s="16"/>
      <c r="M85" s="17" t="s">
        <v>20</v>
      </c>
    </row>
    <row r="86" ht="33" customHeight="1" spans="1:13">
      <c r="A86" s="20" t="s">
        <v>123</v>
      </c>
      <c r="B86" s="8"/>
      <c r="C86" s="36" t="s">
        <v>124</v>
      </c>
      <c r="D86" s="10" t="s">
        <v>121</v>
      </c>
      <c r="E86" s="9" t="s">
        <v>108</v>
      </c>
      <c r="F86" s="9"/>
      <c r="G86" s="9" t="s">
        <v>120</v>
      </c>
      <c r="H86" s="9"/>
      <c r="I86" s="23">
        <v>710</v>
      </c>
      <c r="J86" s="14">
        <v>58</v>
      </c>
      <c r="K86" s="15"/>
      <c r="L86" s="16"/>
      <c r="M86" s="17" t="s">
        <v>24</v>
      </c>
    </row>
    <row r="87" ht="33" customHeight="1" spans="1:13">
      <c r="A87" s="7" t="s">
        <v>125</v>
      </c>
      <c r="B87" s="8"/>
      <c r="C87" s="30" t="s">
        <v>126</v>
      </c>
      <c r="D87" s="10" t="s">
        <v>105</v>
      </c>
      <c r="E87" s="28" t="s">
        <v>86</v>
      </c>
      <c r="F87" s="9" t="s">
        <v>127</v>
      </c>
      <c r="G87" s="9" t="s">
        <v>103</v>
      </c>
      <c r="H87" s="12" t="s">
        <v>19</v>
      </c>
      <c r="I87" s="23">
        <v>720</v>
      </c>
      <c r="J87" s="14">
        <v>63</v>
      </c>
      <c r="M87" s="43" t="s">
        <v>20</v>
      </c>
    </row>
    <row r="88" ht="33" customHeight="1" spans="1:13">
      <c r="A88" s="18" t="s">
        <v>125</v>
      </c>
      <c r="B88" s="8"/>
      <c r="C88" s="32" t="s">
        <v>126</v>
      </c>
      <c r="D88" s="10" t="s">
        <v>22</v>
      </c>
      <c r="E88" s="28" t="s">
        <v>86</v>
      </c>
      <c r="F88" s="9" t="s">
        <v>127</v>
      </c>
      <c r="G88" s="9" t="s">
        <v>103</v>
      </c>
      <c r="H88" s="13" t="s">
        <v>78</v>
      </c>
      <c r="I88" s="23">
        <v>720</v>
      </c>
      <c r="J88" s="14">
        <v>85</v>
      </c>
      <c r="M88" s="43" t="s">
        <v>24</v>
      </c>
    </row>
    <row r="89" ht="33" customHeight="1" spans="1:13">
      <c r="A89" s="20" t="s">
        <v>125</v>
      </c>
      <c r="B89" s="8"/>
      <c r="C89" s="33" t="s">
        <v>126</v>
      </c>
      <c r="D89" s="10" t="s">
        <v>25</v>
      </c>
      <c r="E89" s="28" t="s">
        <v>86</v>
      </c>
      <c r="F89" s="9" t="s">
        <v>127</v>
      </c>
      <c r="G89" s="9" t="s">
        <v>103</v>
      </c>
      <c r="H89" s="13" t="s">
        <v>78</v>
      </c>
      <c r="I89" s="23">
        <v>720</v>
      </c>
      <c r="J89" s="14">
        <v>95</v>
      </c>
      <c r="M89" s="43" t="s">
        <v>20</v>
      </c>
    </row>
    <row r="90" ht="33" customHeight="1" spans="1:13">
      <c r="A90" s="7" t="s">
        <v>128</v>
      </c>
      <c r="B90" s="8"/>
      <c r="C90" s="30" t="s">
        <v>126</v>
      </c>
      <c r="D90" s="10" t="s">
        <v>129</v>
      </c>
      <c r="E90" s="28" t="s">
        <v>86</v>
      </c>
      <c r="F90" s="9" t="s">
        <v>127</v>
      </c>
      <c r="G90" s="9" t="s">
        <v>130</v>
      </c>
      <c r="H90" s="13" t="s">
        <v>78</v>
      </c>
      <c r="I90" s="23">
        <v>720</v>
      </c>
      <c r="J90" s="14">
        <v>132</v>
      </c>
      <c r="M90" s="43" t="s">
        <v>24</v>
      </c>
    </row>
    <row r="91" ht="44" customHeight="1" spans="1:13">
      <c r="A91" s="20" t="s">
        <v>128</v>
      </c>
      <c r="B91" s="8"/>
      <c r="C91" s="33" t="s">
        <v>126</v>
      </c>
      <c r="D91" s="10" t="s">
        <v>131</v>
      </c>
      <c r="E91" s="28" t="s">
        <v>86</v>
      </c>
      <c r="F91" s="9" t="s">
        <v>127</v>
      </c>
      <c r="G91" s="9" t="s">
        <v>130</v>
      </c>
      <c r="H91" s="13" t="s">
        <v>78</v>
      </c>
      <c r="I91" s="23">
        <v>720</v>
      </c>
      <c r="J91" s="14">
        <v>155</v>
      </c>
      <c r="M91" s="43" t="s">
        <v>20</v>
      </c>
    </row>
    <row r="92" ht="49" customHeight="1" spans="1:13">
      <c r="A92" s="7" t="s">
        <v>132</v>
      </c>
      <c r="B92" s="8"/>
      <c r="C92" s="30" t="s">
        <v>133</v>
      </c>
      <c r="D92" s="10" t="s">
        <v>100</v>
      </c>
      <c r="E92" s="28" t="s">
        <v>86</v>
      </c>
      <c r="F92" s="9" t="s">
        <v>127</v>
      </c>
      <c r="G92" s="9" t="s">
        <v>103</v>
      </c>
      <c r="H92" s="12" t="s">
        <v>19</v>
      </c>
      <c r="I92" s="23">
        <v>720</v>
      </c>
      <c r="J92" s="14">
        <v>62</v>
      </c>
      <c r="M92" s="43" t="s">
        <v>24</v>
      </c>
    </row>
    <row r="93" ht="49" customHeight="1" spans="1:13">
      <c r="A93" s="20" t="s">
        <v>132</v>
      </c>
      <c r="B93" s="8"/>
      <c r="C93" s="33" t="s">
        <v>133</v>
      </c>
      <c r="D93" s="10" t="s">
        <v>37</v>
      </c>
      <c r="E93" s="28" t="s">
        <v>86</v>
      </c>
      <c r="F93" s="9" t="s">
        <v>127</v>
      </c>
      <c r="G93" s="9" t="s">
        <v>103</v>
      </c>
      <c r="H93" s="13" t="s">
        <v>78</v>
      </c>
      <c r="I93" s="23">
        <v>720</v>
      </c>
      <c r="J93" s="14">
        <v>105</v>
      </c>
      <c r="M93" s="43" t="s">
        <v>20</v>
      </c>
    </row>
    <row r="94" ht="52" customHeight="1" spans="1:13">
      <c r="A94" s="7" t="s">
        <v>134</v>
      </c>
      <c r="B94" s="8"/>
      <c r="C94" s="30" t="s">
        <v>133</v>
      </c>
      <c r="D94" s="10" t="s">
        <v>100</v>
      </c>
      <c r="E94" s="28" t="s">
        <v>86</v>
      </c>
      <c r="F94" s="9" t="s">
        <v>127</v>
      </c>
      <c r="G94" s="9" t="s">
        <v>135</v>
      </c>
      <c r="H94" s="12" t="s">
        <v>136</v>
      </c>
      <c r="I94" s="23">
        <v>720</v>
      </c>
      <c r="J94" s="14">
        <v>165</v>
      </c>
      <c r="M94" s="43" t="s">
        <v>24</v>
      </c>
    </row>
    <row r="95" ht="52" customHeight="1" spans="1:13">
      <c r="A95" s="20" t="s">
        <v>134</v>
      </c>
      <c r="B95" s="8"/>
      <c r="C95" s="33" t="s">
        <v>133</v>
      </c>
      <c r="D95" s="10" t="s">
        <v>37</v>
      </c>
      <c r="E95" s="28" t="s">
        <v>86</v>
      </c>
      <c r="F95" s="9" t="s">
        <v>127</v>
      </c>
      <c r="G95" s="9" t="s">
        <v>135</v>
      </c>
      <c r="H95" s="12" t="s">
        <v>136</v>
      </c>
      <c r="I95" s="23">
        <v>720</v>
      </c>
      <c r="J95" s="14">
        <v>205</v>
      </c>
      <c r="M95" s="43" t="s">
        <v>20</v>
      </c>
    </row>
    <row r="96" ht="33" customHeight="1" spans="1:13">
      <c r="A96" s="7" t="s">
        <v>137</v>
      </c>
      <c r="B96" s="8"/>
      <c r="C96" s="30" t="s">
        <v>138</v>
      </c>
      <c r="D96" s="10" t="s">
        <v>139</v>
      </c>
      <c r="E96" s="28" t="s">
        <v>86</v>
      </c>
      <c r="F96" s="9" t="s">
        <v>127</v>
      </c>
      <c r="G96" s="9" t="s">
        <v>103</v>
      </c>
      <c r="H96" s="12" t="s">
        <v>19</v>
      </c>
      <c r="I96" s="23">
        <v>720</v>
      </c>
      <c r="J96" s="14">
        <v>75</v>
      </c>
      <c r="M96" s="43" t="s">
        <v>24</v>
      </c>
    </row>
    <row r="97" ht="33" customHeight="1" spans="1:13">
      <c r="A97" s="20" t="s">
        <v>137</v>
      </c>
      <c r="B97" s="8"/>
      <c r="C97" s="33" t="s">
        <v>138</v>
      </c>
      <c r="D97" s="10" t="s">
        <v>22</v>
      </c>
      <c r="E97" s="28" t="s">
        <v>86</v>
      </c>
      <c r="F97" s="9" t="s">
        <v>127</v>
      </c>
      <c r="G97" s="9" t="s">
        <v>103</v>
      </c>
      <c r="H97" s="13" t="s">
        <v>78</v>
      </c>
      <c r="I97" s="23">
        <v>720</v>
      </c>
      <c r="J97" s="14">
        <v>105</v>
      </c>
      <c r="M97" s="43" t="s">
        <v>20</v>
      </c>
    </row>
    <row r="98" ht="44" customHeight="1" spans="1:13">
      <c r="A98" s="7" t="s">
        <v>140</v>
      </c>
      <c r="B98" s="8"/>
      <c r="C98" s="30" t="s">
        <v>138</v>
      </c>
      <c r="D98" s="10" t="s">
        <v>100</v>
      </c>
      <c r="E98" s="28" t="s">
        <v>86</v>
      </c>
      <c r="F98" s="9" t="s">
        <v>127</v>
      </c>
      <c r="G98" s="9" t="s">
        <v>103</v>
      </c>
      <c r="H98" s="12" t="s">
        <v>19</v>
      </c>
      <c r="I98" s="23">
        <v>720</v>
      </c>
      <c r="J98" s="14">
        <v>70</v>
      </c>
      <c r="M98" s="43" t="s">
        <v>24</v>
      </c>
    </row>
    <row r="99" ht="46" customHeight="1" spans="1:13">
      <c r="A99" s="20" t="s">
        <v>140</v>
      </c>
      <c r="B99" s="8"/>
      <c r="C99" s="33" t="s">
        <v>138</v>
      </c>
      <c r="D99" s="10" t="s">
        <v>37</v>
      </c>
      <c r="E99" s="28" t="s">
        <v>86</v>
      </c>
      <c r="F99" s="9" t="s">
        <v>127</v>
      </c>
      <c r="G99" s="9" t="s">
        <v>103</v>
      </c>
      <c r="H99" s="13" t="s">
        <v>78</v>
      </c>
      <c r="I99" s="23">
        <v>720</v>
      </c>
      <c r="J99" s="14">
        <v>110</v>
      </c>
      <c r="M99" s="43" t="s">
        <v>20</v>
      </c>
    </row>
    <row r="100" ht="92" customHeight="1" spans="1:13">
      <c r="A100" s="29" t="s">
        <v>141</v>
      </c>
      <c r="B100" s="8"/>
      <c r="C100" s="28" t="s">
        <v>138</v>
      </c>
      <c r="D100" s="10" t="s">
        <v>43</v>
      </c>
      <c r="E100" s="28" t="s">
        <v>86</v>
      </c>
      <c r="F100" s="9" t="s">
        <v>127</v>
      </c>
      <c r="G100" s="9" t="s">
        <v>130</v>
      </c>
      <c r="H100" s="13" t="s">
        <v>78</v>
      </c>
      <c r="I100" s="23">
        <v>720</v>
      </c>
      <c r="J100" s="14">
        <v>160</v>
      </c>
      <c r="M100" s="43" t="s">
        <v>24</v>
      </c>
    </row>
    <row r="101" ht="67" customHeight="1" spans="1:13">
      <c r="A101" s="7" t="s">
        <v>142</v>
      </c>
      <c r="B101" s="8"/>
      <c r="C101" s="28" t="s">
        <v>143</v>
      </c>
      <c r="D101" s="10" t="s">
        <v>35</v>
      </c>
      <c r="E101" s="28" t="s">
        <v>86</v>
      </c>
      <c r="F101" s="9" t="s">
        <v>127</v>
      </c>
      <c r="G101" s="9" t="s">
        <v>103</v>
      </c>
      <c r="H101" s="13" t="s">
        <v>78</v>
      </c>
      <c r="I101" s="23">
        <v>720</v>
      </c>
      <c r="J101" s="14">
        <v>72</v>
      </c>
      <c r="M101" s="43" t="s">
        <v>20</v>
      </c>
    </row>
    <row r="102" ht="67" customHeight="1" spans="1:13">
      <c r="A102" s="20" t="s">
        <v>142</v>
      </c>
      <c r="B102" s="8"/>
      <c r="C102" s="8"/>
      <c r="D102" s="10" t="s">
        <v>37</v>
      </c>
      <c r="E102" s="28" t="s">
        <v>86</v>
      </c>
      <c r="F102" s="9" t="s">
        <v>127</v>
      </c>
      <c r="G102" s="9" t="s">
        <v>103</v>
      </c>
      <c r="H102" s="13" t="s">
        <v>78</v>
      </c>
      <c r="I102" s="23">
        <v>720</v>
      </c>
      <c r="J102" s="14">
        <v>107</v>
      </c>
      <c r="M102" s="43" t="s">
        <v>24</v>
      </c>
    </row>
    <row r="103" ht="110" customHeight="1" spans="1:13">
      <c r="A103" s="29" t="s">
        <v>144</v>
      </c>
      <c r="B103" s="8"/>
      <c r="C103" s="28" t="s">
        <v>143</v>
      </c>
      <c r="D103" s="10" t="s">
        <v>35</v>
      </c>
      <c r="E103" s="28" t="s">
        <v>86</v>
      </c>
      <c r="F103" s="9" t="s">
        <v>145</v>
      </c>
      <c r="G103" s="9" t="s">
        <v>146</v>
      </c>
      <c r="H103" s="13" t="s">
        <v>78</v>
      </c>
      <c r="I103" s="44">
        <v>1000</v>
      </c>
      <c r="J103" s="14">
        <v>120</v>
      </c>
      <c r="M103" s="43" t="s">
        <v>20</v>
      </c>
    </row>
    <row r="104" ht="94.2" customHeight="1" spans="1:13">
      <c r="A104" s="29" t="s">
        <v>147</v>
      </c>
      <c r="B104" s="8"/>
      <c r="C104" s="28" t="s">
        <v>143</v>
      </c>
      <c r="D104" s="10" t="s">
        <v>35</v>
      </c>
      <c r="E104" s="28" t="s">
        <v>86</v>
      </c>
      <c r="F104" s="9" t="s">
        <v>145</v>
      </c>
      <c r="G104" s="9" t="s">
        <v>148</v>
      </c>
      <c r="H104" s="13" t="s">
        <v>78</v>
      </c>
      <c r="I104" s="44">
        <v>1000</v>
      </c>
      <c r="J104" s="14">
        <v>120</v>
      </c>
      <c r="M104" s="43" t="s">
        <v>24</v>
      </c>
    </row>
    <row r="105" ht="82.8" customHeight="1" spans="1:13">
      <c r="A105" s="29" t="s">
        <v>149</v>
      </c>
      <c r="B105" s="8"/>
      <c r="C105" s="28" t="s">
        <v>143</v>
      </c>
      <c r="D105" s="10" t="s">
        <v>35</v>
      </c>
      <c r="E105" s="28" t="s">
        <v>86</v>
      </c>
      <c r="F105" s="9" t="s">
        <v>145</v>
      </c>
      <c r="G105" s="9" t="s">
        <v>150</v>
      </c>
      <c r="H105" s="13" t="s">
        <v>78</v>
      </c>
      <c r="I105" s="10">
        <v>1000</v>
      </c>
      <c r="J105" s="14">
        <v>280</v>
      </c>
      <c r="M105" s="43" t="s">
        <v>20</v>
      </c>
    </row>
    <row r="106" ht="77.4" customHeight="1" spans="1:13">
      <c r="A106" s="29" t="s">
        <v>151</v>
      </c>
      <c r="B106" s="8"/>
      <c r="C106" s="28" t="s">
        <v>143</v>
      </c>
      <c r="D106" s="10" t="s">
        <v>35</v>
      </c>
      <c r="E106" s="28" t="s">
        <v>86</v>
      </c>
      <c r="F106" s="9" t="s">
        <v>145</v>
      </c>
      <c r="G106" s="9" t="s">
        <v>152</v>
      </c>
      <c r="H106" s="13" t="s">
        <v>78</v>
      </c>
      <c r="I106" s="10">
        <v>1000</v>
      </c>
      <c r="J106" s="14">
        <v>280</v>
      </c>
      <c r="M106" s="43" t="s">
        <v>24</v>
      </c>
    </row>
    <row r="107" ht="91.2" customHeight="1" spans="1:13">
      <c r="A107" s="29" t="s">
        <v>75</v>
      </c>
      <c r="B107" s="8"/>
      <c r="C107" s="11" t="s">
        <v>153</v>
      </c>
      <c r="D107" s="45" t="s">
        <v>154</v>
      </c>
      <c r="E107" s="28" t="s">
        <v>86</v>
      </c>
      <c r="F107" s="9" t="s">
        <v>127</v>
      </c>
      <c r="G107" s="9" t="s">
        <v>155</v>
      </c>
      <c r="H107" s="12" t="s">
        <v>136</v>
      </c>
      <c r="I107" s="23">
        <v>720</v>
      </c>
      <c r="J107" s="14">
        <v>116</v>
      </c>
      <c r="L107" t="e">
        <f>#REF!*30+60</f>
        <v>#REF!</v>
      </c>
      <c r="M107" s="43" t="s">
        <v>20</v>
      </c>
    </row>
    <row r="108" ht="85.2" customHeight="1" spans="1:13">
      <c r="A108" s="29" t="s">
        <v>156</v>
      </c>
      <c r="B108" s="8"/>
      <c r="C108" s="11" t="s">
        <v>157</v>
      </c>
      <c r="D108" s="45" t="s">
        <v>158</v>
      </c>
      <c r="E108" s="28" t="s">
        <v>86</v>
      </c>
      <c r="F108" s="9" t="s">
        <v>127</v>
      </c>
      <c r="G108" s="9" t="s">
        <v>155</v>
      </c>
      <c r="H108" s="12" t="s">
        <v>136</v>
      </c>
      <c r="I108" s="23">
        <v>720</v>
      </c>
      <c r="J108" s="14">
        <v>135</v>
      </c>
      <c r="M108" s="43" t="s">
        <v>24</v>
      </c>
    </row>
    <row r="109" ht="79" customHeight="1" spans="1:13">
      <c r="A109" s="29" t="s">
        <v>83</v>
      </c>
      <c r="B109" s="8"/>
      <c r="C109" s="28" t="s">
        <v>159</v>
      </c>
      <c r="D109" s="10" t="s">
        <v>160</v>
      </c>
      <c r="E109" s="28" t="s">
        <v>86</v>
      </c>
      <c r="F109" s="9" t="s">
        <v>127</v>
      </c>
      <c r="G109" s="9" t="s">
        <v>155</v>
      </c>
      <c r="H109" s="12" t="s">
        <v>136</v>
      </c>
      <c r="I109" s="23">
        <v>720</v>
      </c>
      <c r="J109" s="14">
        <v>135</v>
      </c>
      <c r="M109" s="43" t="s">
        <v>20</v>
      </c>
    </row>
    <row r="110" ht="78" customHeight="1" spans="1:13">
      <c r="A110" s="7" t="s">
        <v>161</v>
      </c>
      <c r="B110" s="8"/>
      <c r="C110" s="30" t="s">
        <v>162</v>
      </c>
      <c r="D110" s="10" t="s">
        <v>27</v>
      </c>
      <c r="E110" s="28" t="s">
        <v>86</v>
      </c>
      <c r="F110" s="9" t="s">
        <v>127</v>
      </c>
      <c r="G110" s="9" t="s">
        <v>103</v>
      </c>
      <c r="H110" s="13" t="s">
        <v>78</v>
      </c>
      <c r="I110" s="23">
        <v>720</v>
      </c>
      <c r="J110" s="14">
        <v>68</v>
      </c>
      <c r="M110" s="43" t="s">
        <v>24</v>
      </c>
    </row>
    <row r="111" ht="33" customHeight="1" spans="1:13">
      <c r="A111" s="20" t="s">
        <v>161</v>
      </c>
      <c r="B111" s="8"/>
      <c r="C111" s="33" t="s">
        <v>162</v>
      </c>
      <c r="D111" s="10" t="s">
        <v>163</v>
      </c>
      <c r="E111" s="28" t="s">
        <v>86</v>
      </c>
      <c r="F111" s="9" t="s">
        <v>127</v>
      </c>
      <c r="G111" s="9" t="s">
        <v>103</v>
      </c>
      <c r="H111" s="13" t="s">
        <v>78</v>
      </c>
      <c r="I111" s="23">
        <v>720</v>
      </c>
      <c r="J111" s="14">
        <v>110</v>
      </c>
      <c r="M111" s="43" t="s">
        <v>20</v>
      </c>
    </row>
    <row r="112" ht="53" customHeight="1" spans="1:13">
      <c r="A112" s="7" t="s">
        <v>164</v>
      </c>
      <c r="B112" s="8"/>
      <c r="C112" s="30" t="s">
        <v>165</v>
      </c>
      <c r="D112" s="10" t="s">
        <v>160</v>
      </c>
      <c r="E112" s="28" t="s">
        <v>86</v>
      </c>
      <c r="F112" s="9" t="s">
        <v>127</v>
      </c>
      <c r="G112" s="9" t="s">
        <v>103</v>
      </c>
      <c r="H112" s="13" t="s">
        <v>78</v>
      </c>
      <c r="I112" s="23">
        <v>720</v>
      </c>
      <c r="J112" s="14">
        <v>75</v>
      </c>
      <c r="M112" s="43" t="s">
        <v>24</v>
      </c>
    </row>
    <row r="113" ht="54" customHeight="1" spans="1:13">
      <c r="A113" s="20" t="s">
        <v>164</v>
      </c>
      <c r="B113" s="8"/>
      <c r="C113" s="33" t="s">
        <v>165</v>
      </c>
      <c r="D113" s="10" t="s">
        <v>166</v>
      </c>
      <c r="E113" s="28" t="s">
        <v>86</v>
      </c>
      <c r="F113" s="9" t="s">
        <v>127</v>
      </c>
      <c r="G113" s="9" t="s">
        <v>103</v>
      </c>
      <c r="H113" s="13" t="s">
        <v>78</v>
      </c>
      <c r="I113" s="23">
        <v>720</v>
      </c>
      <c r="J113" s="14">
        <v>90</v>
      </c>
      <c r="M113" s="43" t="s">
        <v>20</v>
      </c>
    </row>
    <row r="114" ht="93" customHeight="1" spans="1:13">
      <c r="A114" s="29" t="s">
        <v>167</v>
      </c>
      <c r="B114" s="8"/>
      <c r="C114" s="28" t="s">
        <v>165</v>
      </c>
      <c r="D114" s="10" t="s">
        <v>160</v>
      </c>
      <c r="E114" s="28" t="s">
        <v>86</v>
      </c>
      <c r="F114" s="9" t="s">
        <v>127</v>
      </c>
      <c r="G114" s="9" t="s">
        <v>135</v>
      </c>
      <c r="H114" s="12" t="s">
        <v>136</v>
      </c>
      <c r="I114" s="8"/>
      <c r="J114" s="14">
        <v>175</v>
      </c>
      <c r="M114" s="43" t="s">
        <v>24</v>
      </c>
    </row>
    <row r="115" ht="113" customHeight="1" spans="1:13">
      <c r="A115" s="29" t="s">
        <v>168</v>
      </c>
      <c r="B115" s="8"/>
      <c r="C115" s="28" t="s">
        <v>169</v>
      </c>
      <c r="D115" s="8"/>
      <c r="E115" s="28" t="s">
        <v>86</v>
      </c>
      <c r="F115" s="8"/>
      <c r="G115" s="8"/>
      <c r="H115" s="12"/>
      <c r="I115" s="23">
        <v>720</v>
      </c>
      <c r="J115" s="14">
        <v>140</v>
      </c>
    </row>
    <row r="116" ht="106" customHeight="1" spans="1:13">
      <c r="A116" s="29" t="s">
        <v>170</v>
      </c>
      <c r="B116" s="8"/>
      <c r="C116" s="28" t="s">
        <v>171</v>
      </c>
      <c r="D116" s="8"/>
      <c r="E116" s="28" t="s">
        <v>86</v>
      </c>
      <c r="F116" s="8"/>
      <c r="G116" s="8"/>
      <c r="H116" s="12"/>
      <c r="I116" s="23">
        <v>720</v>
      </c>
      <c r="J116" s="14">
        <v>175</v>
      </c>
    </row>
    <row r="117" ht="79.2" customHeight="1" spans="1:13">
      <c r="A117" s="29" t="s">
        <v>172</v>
      </c>
      <c r="B117" s="8"/>
      <c r="C117" s="28" t="s">
        <v>173</v>
      </c>
      <c r="D117" s="8"/>
      <c r="E117" s="28" t="s">
        <v>86</v>
      </c>
      <c r="F117" s="8"/>
      <c r="G117" s="8"/>
      <c r="H117" s="12"/>
      <c r="I117" s="23">
        <v>720</v>
      </c>
      <c r="J117" s="14">
        <v>220</v>
      </c>
    </row>
    <row r="118" ht="104" customHeight="1" spans="1:13">
      <c r="A118" s="29" t="s">
        <v>174</v>
      </c>
      <c r="B118" s="8"/>
      <c r="C118" s="28" t="s">
        <v>175</v>
      </c>
      <c r="D118" s="8"/>
      <c r="E118" s="28" t="s">
        <v>86</v>
      </c>
      <c r="F118" s="9" t="s">
        <v>176</v>
      </c>
      <c r="G118" s="9" t="s">
        <v>103</v>
      </c>
      <c r="H118" s="12" t="s">
        <v>19</v>
      </c>
      <c r="I118" s="23">
        <v>720</v>
      </c>
      <c r="J118" s="14">
        <v>125</v>
      </c>
    </row>
    <row r="119" ht="93" customHeight="1" spans="1:13">
      <c r="A119" s="29" t="s">
        <v>177</v>
      </c>
      <c r="B119" s="8"/>
      <c r="C119" s="28" t="s">
        <v>178</v>
      </c>
      <c r="D119" s="8"/>
      <c r="E119" s="28" t="s">
        <v>86</v>
      </c>
      <c r="F119" s="9" t="s">
        <v>176</v>
      </c>
      <c r="G119" s="9" t="s">
        <v>103</v>
      </c>
      <c r="H119" s="12" t="s">
        <v>19</v>
      </c>
      <c r="I119" s="23">
        <v>720</v>
      </c>
      <c r="J119" s="14">
        <v>135</v>
      </c>
    </row>
    <row r="120" ht="84" customHeight="1" spans="1:13">
      <c r="A120" s="29" t="s">
        <v>179</v>
      </c>
      <c r="B120" s="8"/>
      <c r="C120" s="28" t="s">
        <v>180</v>
      </c>
      <c r="D120" s="8"/>
      <c r="E120" s="28" t="s">
        <v>86</v>
      </c>
      <c r="F120" s="9" t="s">
        <v>176</v>
      </c>
      <c r="G120" s="9" t="s">
        <v>103</v>
      </c>
      <c r="H120" s="46" t="s">
        <v>19</v>
      </c>
      <c r="I120" s="23">
        <v>720</v>
      </c>
      <c r="J120" s="14">
        <v>145</v>
      </c>
    </row>
    <row r="121" ht="103" customHeight="1" spans="1:13">
      <c r="A121" s="8"/>
      <c r="B121" s="8"/>
      <c r="C121" s="28" t="s">
        <v>181</v>
      </c>
      <c r="D121" s="10" t="s">
        <v>35</v>
      </c>
      <c r="E121" s="28" t="s">
        <v>182</v>
      </c>
      <c r="F121" s="9" t="s">
        <v>183</v>
      </c>
      <c r="G121" s="9" t="s">
        <v>184</v>
      </c>
      <c r="H121" s="46" t="s">
        <v>19</v>
      </c>
      <c r="I121" s="23">
        <v>720</v>
      </c>
      <c r="J121" s="14">
        <v>66</v>
      </c>
    </row>
    <row r="122" ht="133.8" customHeight="1" spans="1:13">
      <c r="A122" s="29" t="s">
        <v>185</v>
      </c>
      <c r="B122" s="8"/>
      <c r="C122" s="28" t="s">
        <v>186</v>
      </c>
      <c r="D122" s="10" t="s">
        <v>36</v>
      </c>
      <c r="E122" s="28" t="s">
        <v>187</v>
      </c>
      <c r="F122" s="9" t="s">
        <v>188</v>
      </c>
      <c r="G122" s="9" t="s">
        <v>189</v>
      </c>
      <c r="H122" s="46" t="s">
        <v>19</v>
      </c>
      <c r="I122" s="23">
        <v>720</v>
      </c>
      <c r="J122" s="14">
        <v>90</v>
      </c>
    </row>
    <row r="123" ht="102.6" customHeight="1" spans="1:13">
      <c r="A123" s="29" t="s">
        <v>190</v>
      </c>
      <c r="B123" s="8"/>
      <c r="C123" s="28" t="s">
        <v>191</v>
      </c>
      <c r="D123" s="10" t="s">
        <v>192</v>
      </c>
      <c r="E123" s="28" t="s">
        <v>193</v>
      </c>
      <c r="F123" s="47" t="s">
        <v>194</v>
      </c>
      <c r="G123" s="47" t="s">
        <v>194</v>
      </c>
      <c r="H123" s="47" t="s">
        <v>194</v>
      </c>
      <c r="I123" s="8"/>
      <c r="J123" s="14">
        <v>180</v>
      </c>
    </row>
    <row r="124" ht="97.8" customHeight="1" spans="1:13">
      <c r="A124" s="29" t="s">
        <v>195</v>
      </c>
      <c r="B124" s="8"/>
      <c r="C124" s="28" t="s">
        <v>191</v>
      </c>
      <c r="D124" s="10" t="s">
        <v>192</v>
      </c>
      <c r="E124" s="28" t="s">
        <v>50</v>
      </c>
      <c r="F124" s="48" t="s">
        <v>194</v>
      </c>
      <c r="G124" s="48" t="s">
        <v>194</v>
      </c>
      <c r="H124" s="48" t="s">
        <v>194</v>
      </c>
      <c r="I124" s="8"/>
      <c r="J124" s="14">
        <v>350</v>
      </c>
    </row>
    <row r="125" ht="29.25" customHeight="1" spans="1:13">
      <c r="A125" s="7" t="s">
        <v>196</v>
      </c>
      <c r="B125" s="39"/>
      <c r="C125" s="30" t="s">
        <v>197</v>
      </c>
      <c r="D125" s="9" t="s">
        <v>198</v>
      </c>
      <c r="E125" s="9"/>
      <c r="F125" s="10"/>
      <c r="G125" s="10"/>
      <c r="H125" s="10"/>
      <c r="I125" s="8"/>
      <c r="J125" s="14">
        <v>7</v>
      </c>
    </row>
    <row r="126" ht="29.25" customHeight="1" spans="1:13">
      <c r="A126" s="18" t="s">
        <v>196</v>
      </c>
      <c r="B126" s="39"/>
      <c r="C126" s="32" t="s">
        <v>197</v>
      </c>
      <c r="D126" s="9" t="s">
        <v>199</v>
      </c>
      <c r="E126" s="9"/>
      <c r="F126" s="10"/>
      <c r="G126" s="10"/>
      <c r="H126" s="10"/>
      <c r="I126" s="8"/>
      <c r="J126" s="14">
        <v>7</v>
      </c>
    </row>
    <row r="127" ht="29.25" customHeight="1" spans="1:13">
      <c r="A127" s="18" t="s">
        <v>196</v>
      </c>
      <c r="B127" s="49"/>
      <c r="C127" s="32" t="s">
        <v>197</v>
      </c>
      <c r="D127" s="9" t="s">
        <v>200</v>
      </c>
      <c r="E127" s="9"/>
      <c r="F127" s="10"/>
      <c r="G127" s="10"/>
      <c r="H127" s="10"/>
      <c r="I127" s="8"/>
      <c r="J127" s="14">
        <v>10</v>
      </c>
    </row>
    <row r="128" ht="29.25" customHeight="1" spans="1:13">
      <c r="A128" s="20" t="s">
        <v>196</v>
      </c>
      <c r="B128" s="49"/>
      <c r="C128" s="33" t="s">
        <v>197</v>
      </c>
      <c r="D128" s="9" t="s">
        <v>201</v>
      </c>
      <c r="E128" s="9"/>
      <c r="F128" s="10"/>
      <c r="G128" s="10"/>
      <c r="H128" s="10"/>
      <c r="I128" s="8"/>
      <c r="J128" s="14">
        <v>15</v>
      </c>
    </row>
    <row r="129" ht="65.4" customHeight="1" spans="1:10">
      <c r="A129" s="29" t="s">
        <v>202</v>
      </c>
      <c r="B129" s="8"/>
      <c r="C129" s="28" t="s">
        <v>203</v>
      </c>
      <c r="D129" s="9" t="s">
        <v>21</v>
      </c>
      <c r="E129" s="9"/>
      <c r="F129" s="10"/>
      <c r="G129" s="10"/>
      <c r="H129" s="10"/>
      <c r="I129" s="8"/>
      <c r="J129" s="14">
        <v>5</v>
      </c>
    </row>
    <row r="130" ht="60" customHeight="1" spans="1:10">
      <c r="A130" s="29" t="s">
        <v>204</v>
      </c>
      <c r="B130" s="39"/>
      <c r="C130" s="28" t="s">
        <v>203</v>
      </c>
      <c r="D130" s="9" t="s">
        <v>44</v>
      </c>
      <c r="E130" s="9"/>
      <c r="F130" s="10"/>
      <c r="G130" s="10"/>
      <c r="H130" s="10"/>
      <c r="I130" s="8"/>
      <c r="J130" s="14">
        <v>10</v>
      </c>
    </row>
    <row r="131" ht="29.25" customHeight="1" spans="1:10">
      <c r="A131" s="7" t="s">
        <v>205</v>
      </c>
      <c r="B131" s="39"/>
      <c r="C131" s="34" t="s">
        <v>206</v>
      </c>
      <c r="D131" s="9" t="s">
        <v>154</v>
      </c>
      <c r="E131" s="9"/>
      <c r="F131" s="10"/>
      <c r="G131" s="10"/>
      <c r="H131" s="10"/>
      <c r="I131" s="8"/>
      <c r="J131" s="14">
        <v>20</v>
      </c>
    </row>
    <row r="132" ht="29.25" customHeight="1" spans="1:10">
      <c r="A132" s="18" t="s">
        <v>205</v>
      </c>
      <c r="B132" s="50"/>
      <c r="C132" s="35" t="s">
        <v>206</v>
      </c>
      <c r="D132" s="9" t="s">
        <v>207</v>
      </c>
      <c r="E132" s="9"/>
      <c r="F132" s="10"/>
      <c r="G132" s="10"/>
      <c r="H132" s="10"/>
      <c r="I132" s="8"/>
      <c r="J132" s="14">
        <v>25</v>
      </c>
    </row>
    <row r="133" ht="29.25" customHeight="1" spans="1:10">
      <c r="A133" s="20" t="s">
        <v>205</v>
      </c>
      <c r="B133" s="50"/>
      <c r="C133" s="36" t="s">
        <v>206</v>
      </c>
      <c r="D133" s="9" t="s">
        <v>208</v>
      </c>
      <c r="E133" s="9"/>
      <c r="F133" s="10"/>
      <c r="G133" s="10"/>
      <c r="H133" s="10"/>
      <c r="I133" s="8"/>
      <c r="J133" s="14">
        <v>35</v>
      </c>
    </row>
    <row r="134" ht="29.25" customHeight="1" spans="1:10">
      <c r="A134" s="7" t="s">
        <v>209</v>
      </c>
      <c r="B134" s="39"/>
      <c r="C134" s="34" t="s">
        <v>206</v>
      </c>
      <c r="D134" s="9" t="s">
        <v>210</v>
      </c>
      <c r="E134" s="9"/>
      <c r="F134" s="10"/>
      <c r="G134" s="10"/>
      <c r="H134" s="10"/>
      <c r="I134" s="8"/>
      <c r="J134" s="14">
        <v>30</v>
      </c>
    </row>
    <row r="135" ht="29.25" customHeight="1" spans="1:10">
      <c r="A135" s="18" t="s">
        <v>209</v>
      </c>
      <c r="B135" s="39"/>
      <c r="C135" s="35" t="s">
        <v>206</v>
      </c>
      <c r="D135" s="9" t="s">
        <v>211</v>
      </c>
      <c r="E135" s="9"/>
      <c r="F135" s="10"/>
      <c r="G135" s="10"/>
      <c r="H135" s="10"/>
      <c r="I135" s="8"/>
      <c r="J135" s="14">
        <v>35</v>
      </c>
    </row>
    <row r="136" ht="29.25" customHeight="1" spans="1:10">
      <c r="A136" s="18" t="s">
        <v>209</v>
      </c>
      <c r="B136" s="49"/>
      <c r="C136" s="35" t="s">
        <v>206</v>
      </c>
      <c r="D136" s="9" t="s">
        <v>212</v>
      </c>
      <c r="E136" s="9"/>
      <c r="F136" s="10"/>
      <c r="G136" s="10"/>
      <c r="H136" s="10"/>
      <c r="I136" s="8"/>
      <c r="J136" s="14">
        <v>40</v>
      </c>
    </row>
    <row r="137" ht="29.25" customHeight="1" spans="1:10">
      <c r="A137" s="20" t="s">
        <v>209</v>
      </c>
      <c r="B137" s="50"/>
      <c r="C137" s="36" t="s">
        <v>206</v>
      </c>
      <c r="D137" s="9" t="s">
        <v>213</v>
      </c>
      <c r="E137" s="9"/>
      <c r="F137" s="10"/>
      <c r="G137" s="10"/>
      <c r="H137" s="10"/>
      <c r="I137" s="8"/>
      <c r="J137" s="14">
        <v>45</v>
      </c>
    </row>
    <row r="138" ht="86" customHeight="1" spans="1:10">
      <c r="A138" s="29" t="s">
        <v>214</v>
      </c>
      <c r="B138" s="8"/>
      <c r="C138" s="11" t="s">
        <v>215</v>
      </c>
      <c r="D138" s="9" t="s">
        <v>22</v>
      </c>
      <c r="E138" s="9"/>
      <c r="F138" s="10"/>
      <c r="G138" s="10"/>
      <c r="H138" s="10"/>
      <c r="I138" s="8"/>
      <c r="J138" s="14">
        <v>45</v>
      </c>
    </row>
    <row r="139" ht="75" customHeight="1" spans="1:10">
      <c r="A139" s="29" t="s">
        <v>216</v>
      </c>
      <c r="B139" s="8"/>
      <c r="C139" s="11" t="s">
        <v>215</v>
      </c>
      <c r="D139" s="9" t="s">
        <v>44</v>
      </c>
      <c r="E139" s="9"/>
      <c r="F139" s="10"/>
      <c r="G139" s="10"/>
      <c r="H139" s="10"/>
      <c r="I139" s="8"/>
      <c r="J139" s="14">
        <v>65</v>
      </c>
    </row>
    <row r="140" ht="29.25" customHeight="1" spans="1:10">
      <c r="A140" s="24" t="s">
        <v>217</v>
      </c>
      <c r="B140" s="8"/>
      <c r="C140" s="30" t="s">
        <v>218</v>
      </c>
      <c r="D140" s="9" t="s">
        <v>219</v>
      </c>
      <c r="E140" s="9"/>
      <c r="F140" s="10"/>
      <c r="G140" s="10"/>
      <c r="H140" s="10"/>
      <c r="I140" s="8"/>
      <c r="J140" s="14">
        <v>50</v>
      </c>
    </row>
    <row r="141" ht="29.25" customHeight="1" spans="1:10">
      <c r="A141" s="41" t="s">
        <v>217</v>
      </c>
      <c r="B141" s="8"/>
      <c r="C141" s="33" t="s">
        <v>218</v>
      </c>
      <c r="D141" s="9" t="s">
        <v>220</v>
      </c>
      <c r="E141" s="9"/>
      <c r="F141" s="10"/>
      <c r="G141" s="10"/>
      <c r="H141" s="10"/>
      <c r="I141" s="8"/>
      <c r="J141" s="14">
        <v>60</v>
      </c>
    </row>
    <row r="142" ht="60" customHeight="1" spans="1:10">
      <c r="A142" s="29" t="s">
        <v>221</v>
      </c>
      <c r="B142" s="8"/>
      <c r="C142" s="28" t="s">
        <v>222</v>
      </c>
      <c r="D142" s="9" t="s">
        <v>21</v>
      </c>
      <c r="E142" s="9"/>
      <c r="F142" s="10"/>
      <c r="G142" s="10"/>
      <c r="H142" s="10"/>
      <c r="I142" s="8"/>
      <c r="J142" s="14">
        <v>15</v>
      </c>
    </row>
    <row r="143" ht="57.6" customHeight="1" spans="1:10">
      <c r="A143" s="29" t="s">
        <v>223</v>
      </c>
      <c r="B143" s="8"/>
      <c r="C143" s="28" t="s">
        <v>224</v>
      </c>
      <c r="D143" s="9" t="s">
        <v>21</v>
      </c>
      <c r="E143" s="9"/>
      <c r="F143" s="10"/>
      <c r="G143" s="10"/>
      <c r="H143" s="10"/>
      <c r="I143" s="8"/>
      <c r="J143" s="14">
        <v>20</v>
      </c>
    </row>
  </sheetData>
  <mergeCells count="36">
    <mergeCell ref="B2:B6"/>
    <mergeCell ref="B17:B18"/>
    <mergeCell ref="B19:B20"/>
    <mergeCell ref="B21:B22"/>
    <mergeCell ref="B23:B25"/>
    <mergeCell ref="B26:B28"/>
    <mergeCell ref="B30:B32"/>
    <mergeCell ref="B33:B35"/>
    <mergeCell ref="B37:B39"/>
    <mergeCell ref="B42:B44"/>
    <mergeCell ref="B47:B49"/>
    <mergeCell ref="B50:B52"/>
    <mergeCell ref="B53:B55"/>
    <mergeCell ref="B56:B58"/>
    <mergeCell ref="B59:B61"/>
    <mergeCell ref="B62:B64"/>
    <mergeCell ref="B65:B66"/>
    <mergeCell ref="B67:B69"/>
    <mergeCell ref="B77:B78"/>
    <mergeCell ref="B81:B82"/>
    <mergeCell ref="B83:B84"/>
    <mergeCell ref="B85:B86"/>
    <mergeCell ref="B87:B89"/>
    <mergeCell ref="B90:B91"/>
    <mergeCell ref="B92:B93"/>
    <mergeCell ref="B94:B95"/>
    <mergeCell ref="B96:B97"/>
    <mergeCell ref="B98:B99"/>
    <mergeCell ref="B101:B102"/>
    <mergeCell ref="B107:B108"/>
    <mergeCell ref="B110:B111"/>
    <mergeCell ref="B112:B113"/>
    <mergeCell ref="B125:B126"/>
    <mergeCell ref="B127:B128"/>
    <mergeCell ref="B132:B133"/>
    <mergeCell ref="B134:B13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tingbing wang</dc:creator>
  <cp:lastModifiedBy>TINA潘婷</cp:lastModifiedBy>
  <dcterms:created xsi:type="dcterms:W3CDTF">2025-05-12T16:22:00Z</dcterms:created>
  <dcterms:modified xsi:type="dcterms:W3CDTF">2026-07-09T02:34:14Z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2025-11-03T05:31:22Z</vt:filetime>
  </property>
  <property fmtid="{D5CDD505-2E9C-101B-9397-08002B2CF9AE}" pid="4" name="ICV">
    <vt:lpwstr>70A8280B855A4F97BE02C21FBCD92337_12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